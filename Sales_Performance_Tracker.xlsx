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 Data" sheetId="1" state="visible" r:id="rId3"/>
    <sheet name="Targets" sheetId="2" state="visible" r:id="rId4"/>
    <sheet name="Monthly Summary" sheetId="3" state="visible" r:id="rId5"/>
    <sheet name="KPI Dashboard" sheetId="4" state="visible" r:id="rId6"/>
    <sheet name="Product Analysis" sheetId="5" state="visible" r:id="rId7"/>
    <sheet name="Quarterly Analysis" sheetId="6" state="visible" r:id="rId8"/>
    <sheet name="Region Analysis" sheetId="7" state="visible" r:id="rId9"/>
    <sheet name="Power BI Guide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<sst xmlns="http://schemas.openxmlformats.org/spreadsheetml/2006/main" count="2100" uniqueCount="270">
  <si>
    <t xml:space="preserve">Sale ID</t>
  </si>
  <si>
    <t xml:space="preserve">Date</t>
  </si>
  <si>
    <t xml:space="preserve">Sales Rep</t>
  </si>
  <si>
    <t xml:space="preserve">Region</t>
  </si>
  <si>
    <t xml:space="preserve">Segment</t>
  </si>
  <si>
    <t xml:space="preserve">Product</t>
  </si>
  <si>
    <t xml:space="preserve">Category</t>
  </si>
  <si>
    <t xml:space="preserve">Unit Price ($)</t>
  </si>
  <si>
    <t xml:space="preserve">Units Sold</t>
  </si>
  <si>
    <t xml:space="preserve">Revenue ($)</t>
  </si>
  <si>
    <t xml:space="preserve">Target ($)</t>
  </si>
  <si>
    <t xml:space="preserve">Achievement (%)</t>
  </si>
  <si>
    <t xml:space="preserve">Quarter</t>
  </si>
  <si>
    <t xml:space="preserve">Month</t>
  </si>
  <si>
    <t xml:space="preserve">2024-01-05</t>
  </si>
  <si>
    <t xml:space="preserve">Arjun Sharma</t>
  </si>
  <si>
    <t xml:space="preserve">North</t>
  </si>
  <si>
    <t xml:space="preserve">Enterprise</t>
  </si>
  <si>
    <t xml:space="preserve">CRM Pro</t>
  </si>
  <si>
    <t xml:space="preserve">Software</t>
  </si>
  <si>
    <t xml:space="preserve">Q1</t>
  </si>
  <si>
    <t xml:space="preserve">Jan</t>
  </si>
  <si>
    <t xml:space="preserve">2024-01-03</t>
  </si>
  <si>
    <t xml:space="preserve">Data Pipeline</t>
  </si>
  <si>
    <t xml:space="preserve">Cloud</t>
  </si>
  <si>
    <t xml:space="preserve">2024-01-08</t>
  </si>
  <si>
    <t xml:space="preserve">Security Pack</t>
  </si>
  <si>
    <t xml:space="preserve">Security</t>
  </si>
  <si>
    <t xml:space="preserve">2024-01-23</t>
  </si>
  <si>
    <t xml:space="preserve">Priya Nair</t>
  </si>
  <si>
    <t xml:space="preserve">South</t>
  </si>
  <si>
    <t xml:space="preserve">SMB</t>
  </si>
  <si>
    <t xml:space="preserve">2024-01-26</t>
  </si>
  <si>
    <t xml:space="preserve">2024-01-28</t>
  </si>
  <si>
    <t xml:space="preserve">Rahul Verma</t>
  </si>
  <si>
    <t xml:space="preserve">East</t>
  </si>
  <si>
    <t xml:space="preserve">Cloud Storage</t>
  </si>
  <si>
    <t xml:space="preserve">2024-01-18</t>
  </si>
  <si>
    <t xml:space="preserve">Sneha Iyer</t>
  </si>
  <si>
    <t xml:space="preserve">West</t>
  </si>
  <si>
    <t xml:space="preserve">Mid-Market</t>
  </si>
  <si>
    <t xml:space="preserve">2024-01-21</t>
  </si>
  <si>
    <t xml:space="preserve">2024-01-22</t>
  </si>
  <si>
    <t xml:space="preserve">Vikram Patel</t>
  </si>
  <si>
    <t xml:space="preserve">Analytics Suite</t>
  </si>
  <si>
    <t xml:space="preserve">2024-01-12</t>
  </si>
  <si>
    <t xml:space="preserve">Ananya Reddy</t>
  </si>
  <si>
    <t xml:space="preserve">Karan Mehta</t>
  </si>
  <si>
    <t xml:space="preserve">2024-01-25</t>
  </si>
  <si>
    <t xml:space="preserve">Divya Kapoor</t>
  </si>
  <si>
    <t xml:space="preserve">Rohan Gupta</t>
  </si>
  <si>
    <t xml:space="preserve">Meera Joshi</t>
  </si>
  <si>
    <t xml:space="preserve">2024-02-28</t>
  </si>
  <si>
    <t xml:space="preserve">Feb</t>
  </si>
  <si>
    <t xml:space="preserve">2024-02-03</t>
  </si>
  <si>
    <t xml:space="preserve">2024-02-18</t>
  </si>
  <si>
    <t xml:space="preserve">AI Assistant</t>
  </si>
  <si>
    <t xml:space="preserve">AI</t>
  </si>
  <si>
    <t xml:space="preserve">2024-02-09</t>
  </si>
  <si>
    <t xml:space="preserve">2024-02-01</t>
  </si>
  <si>
    <t xml:space="preserve">2024-02-17</t>
  </si>
  <si>
    <t xml:space="preserve">2024-02-07</t>
  </si>
  <si>
    <t xml:space="preserve">2024-02-12</t>
  </si>
  <si>
    <t xml:space="preserve">2024-02-23</t>
  </si>
  <si>
    <t xml:space="preserve">2024-03-07</t>
  </si>
  <si>
    <t xml:space="preserve">Mar</t>
  </si>
  <si>
    <t xml:space="preserve">2024-03-19</t>
  </si>
  <si>
    <t xml:space="preserve">2024-03-04</t>
  </si>
  <si>
    <t xml:space="preserve">2024-03-28</t>
  </si>
  <si>
    <t xml:space="preserve">2024-03-26</t>
  </si>
  <si>
    <t xml:space="preserve">2024-03-05</t>
  </si>
  <si>
    <t xml:space="preserve">2024-03-03</t>
  </si>
  <si>
    <t xml:space="preserve">2024-03-27</t>
  </si>
  <si>
    <t xml:space="preserve">2024-03-06</t>
  </si>
  <si>
    <t xml:space="preserve">2024-03-02</t>
  </si>
  <si>
    <t xml:space="preserve">2024-03-20</t>
  </si>
  <si>
    <t xml:space="preserve">2024-03-22</t>
  </si>
  <si>
    <t xml:space="preserve">2024-04-03</t>
  </si>
  <si>
    <t xml:space="preserve">Q2</t>
  </si>
  <si>
    <t xml:space="preserve">Apr</t>
  </si>
  <si>
    <t xml:space="preserve">2024-04-18</t>
  </si>
  <si>
    <t xml:space="preserve">2024-04-21</t>
  </si>
  <si>
    <t xml:space="preserve">2024-04-05</t>
  </si>
  <si>
    <t xml:space="preserve">2024-04-07</t>
  </si>
  <si>
    <t xml:space="preserve">2024-04-28</t>
  </si>
  <si>
    <t xml:space="preserve">2024-04-02</t>
  </si>
  <si>
    <t xml:space="preserve">2024-04-09</t>
  </si>
  <si>
    <t xml:space="preserve">2024-04-01</t>
  </si>
  <si>
    <t xml:space="preserve">2024-04-19</t>
  </si>
  <si>
    <t xml:space="preserve">2024-04-26</t>
  </si>
  <si>
    <t xml:space="preserve">2024-04-04</t>
  </si>
  <si>
    <t xml:space="preserve">2024-04-20</t>
  </si>
  <si>
    <t xml:space="preserve">2024-04-11</t>
  </si>
  <si>
    <t xml:space="preserve">2024-04-15</t>
  </si>
  <si>
    <t xml:space="preserve">2024-04-08</t>
  </si>
  <si>
    <t xml:space="preserve">2024-05-18</t>
  </si>
  <si>
    <t xml:space="preserve">May</t>
  </si>
  <si>
    <t xml:space="preserve">2024-05-06</t>
  </si>
  <si>
    <t xml:space="preserve">2024-05-24</t>
  </si>
  <si>
    <t xml:space="preserve">2024-05-13</t>
  </si>
  <si>
    <t xml:space="preserve">2024-05-01</t>
  </si>
  <si>
    <t xml:space="preserve">2024-05-22</t>
  </si>
  <si>
    <t xml:space="preserve">2024-05-19</t>
  </si>
  <si>
    <t xml:space="preserve">2024-05-07</t>
  </si>
  <si>
    <t xml:space="preserve">2024-05-20</t>
  </si>
  <si>
    <t xml:space="preserve">2024-05-23</t>
  </si>
  <si>
    <t xml:space="preserve">2024-05-26</t>
  </si>
  <si>
    <t xml:space="preserve">2024-05-28</t>
  </si>
  <si>
    <t xml:space="preserve">2024-05-17</t>
  </si>
  <si>
    <t xml:space="preserve">2024-05-21</t>
  </si>
  <si>
    <t xml:space="preserve">2024-06-03</t>
  </si>
  <si>
    <t xml:space="preserve">Jun</t>
  </si>
  <si>
    <t xml:space="preserve">2024-06-18</t>
  </si>
  <si>
    <t xml:space="preserve">2024-06-23</t>
  </si>
  <si>
    <t xml:space="preserve">2024-06-14</t>
  </si>
  <si>
    <t xml:space="preserve">2024-06-10</t>
  </si>
  <si>
    <t xml:space="preserve">2024-06-20</t>
  </si>
  <si>
    <t xml:space="preserve">2024-06-01</t>
  </si>
  <si>
    <t xml:space="preserve">2024-06-05</t>
  </si>
  <si>
    <t xml:space="preserve">2024-06-19</t>
  </si>
  <si>
    <t xml:space="preserve">2024-06-15</t>
  </si>
  <si>
    <t xml:space="preserve">2024-06-25</t>
  </si>
  <si>
    <t xml:space="preserve">2024-06-02</t>
  </si>
  <si>
    <t xml:space="preserve">2024-06-21</t>
  </si>
  <si>
    <t xml:space="preserve">2024-07-07</t>
  </si>
  <si>
    <t xml:space="preserve">Q3</t>
  </si>
  <si>
    <t xml:space="preserve">Jul</t>
  </si>
  <si>
    <t xml:space="preserve">2024-07-20</t>
  </si>
  <si>
    <t xml:space="preserve">2024-07-10</t>
  </si>
  <si>
    <t xml:space="preserve">2024-07-13</t>
  </si>
  <si>
    <t xml:space="preserve">2024-07-21</t>
  </si>
  <si>
    <t xml:space="preserve">2024-07-22</t>
  </si>
  <si>
    <t xml:space="preserve">2024-07-14</t>
  </si>
  <si>
    <t xml:space="preserve">2024-07-01</t>
  </si>
  <si>
    <t xml:space="preserve">2024-07-16</t>
  </si>
  <si>
    <t xml:space="preserve">2024-07-27</t>
  </si>
  <si>
    <t xml:space="preserve">2024-07-15</t>
  </si>
  <si>
    <t xml:space="preserve">2024-07-11</t>
  </si>
  <si>
    <t xml:space="preserve">2024-07-18</t>
  </si>
  <si>
    <t xml:space="preserve">2024-07-26</t>
  </si>
  <si>
    <t xml:space="preserve">2024-07-08</t>
  </si>
  <si>
    <t xml:space="preserve">2024-07-12</t>
  </si>
  <si>
    <t xml:space="preserve">2024-07-09</t>
  </si>
  <si>
    <t xml:space="preserve">2024-08-04</t>
  </si>
  <si>
    <t xml:space="preserve">Aug</t>
  </si>
  <si>
    <t xml:space="preserve">2024-08-07</t>
  </si>
  <si>
    <t xml:space="preserve">2024-08-25</t>
  </si>
  <si>
    <t xml:space="preserve">2024-08-10</t>
  </si>
  <si>
    <t xml:space="preserve">2024-08-18</t>
  </si>
  <si>
    <t xml:space="preserve">2024-08-02</t>
  </si>
  <si>
    <t xml:space="preserve">2024-08-16</t>
  </si>
  <si>
    <t xml:space="preserve">2024-08-20</t>
  </si>
  <si>
    <t xml:space="preserve">2024-08-03</t>
  </si>
  <si>
    <t xml:space="preserve">2024-08-28</t>
  </si>
  <si>
    <t xml:space="preserve">2024-08-26</t>
  </si>
  <si>
    <t xml:space="preserve">2024-08-21</t>
  </si>
  <si>
    <t xml:space="preserve">2024-08-06</t>
  </si>
  <si>
    <t xml:space="preserve">2024-09-09</t>
  </si>
  <si>
    <t xml:space="preserve">Sep</t>
  </si>
  <si>
    <t xml:space="preserve">2024-09-02</t>
  </si>
  <si>
    <t xml:space="preserve">2024-09-08</t>
  </si>
  <si>
    <t xml:space="preserve">2024-09-25</t>
  </si>
  <si>
    <t xml:space="preserve">2024-09-16</t>
  </si>
  <si>
    <t xml:space="preserve">2024-09-19</t>
  </si>
  <si>
    <t xml:space="preserve">2024-09-14</t>
  </si>
  <si>
    <t xml:space="preserve">2024-09-23</t>
  </si>
  <si>
    <t xml:space="preserve">2024-09-04</t>
  </si>
  <si>
    <t xml:space="preserve">2024-09-28</t>
  </si>
  <si>
    <t xml:space="preserve">2024-09-12</t>
  </si>
  <si>
    <t xml:space="preserve">2024-09-18</t>
  </si>
  <si>
    <t xml:space="preserve">2024-09-10</t>
  </si>
  <si>
    <t xml:space="preserve">2024-09-27</t>
  </si>
  <si>
    <t xml:space="preserve">2024-09-05</t>
  </si>
  <si>
    <t xml:space="preserve">2024-09-07</t>
  </si>
  <si>
    <t xml:space="preserve">2024-09-03</t>
  </si>
  <si>
    <t xml:space="preserve">2024-09-11</t>
  </si>
  <si>
    <t xml:space="preserve">2024-10-26</t>
  </si>
  <si>
    <t xml:space="preserve">Q4</t>
  </si>
  <si>
    <t xml:space="preserve">Oct</t>
  </si>
  <si>
    <t xml:space="preserve">2024-10-21</t>
  </si>
  <si>
    <t xml:space="preserve">2024-10-11</t>
  </si>
  <si>
    <t xml:space="preserve">2024-10-24</t>
  </si>
  <si>
    <t xml:space="preserve">2024-10-09</t>
  </si>
  <si>
    <t xml:space="preserve">2024-10-28</t>
  </si>
  <si>
    <t xml:space="preserve">2024-10-23</t>
  </si>
  <si>
    <t xml:space="preserve">2024-10-22</t>
  </si>
  <si>
    <t xml:space="preserve">2024-10-04</t>
  </si>
  <si>
    <t xml:space="preserve">2024-10-01</t>
  </si>
  <si>
    <t xml:space="preserve">2024-10-12</t>
  </si>
  <si>
    <t xml:space="preserve">2024-10-20</t>
  </si>
  <si>
    <t xml:space="preserve">2024-10-15</t>
  </si>
  <si>
    <t xml:space="preserve">2024-10-16</t>
  </si>
  <si>
    <t xml:space="preserve">2024-11-23</t>
  </si>
  <si>
    <t xml:space="preserve">Nov</t>
  </si>
  <si>
    <t xml:space="preserve">2024-11-22</t>
  </si>
  <si>
    <t xml:space="preserve">2024-11-27</t>
  </si>
  <si>
    <t xml:space="preserve">2024-11-07</t>
  </si>
  <si>
    <t xml:space="preserve">2024-11-10</t>
  </si>
  <si>
    <t xml:space="preserve">2024-11-03</t>
  </si>
  <si>
    <t xml:space="preserve">2024-11-05</t>
  </si>
  <si>
    <t xml:space="preserve">2024-11-06</t>
  </si>
  <si>
    <t xml:space="preserve">2024-11-28</t>
  </si>
  <si>
    <t xml:space="preserve">2024-11-25</t>
  </si>
  <si>
    <t xml:space="preserve">2024-11-12</t>
  </si>
  <si>
    <t xml:space="preserve">2024-11-18</t>
  </si>
  <si>
    <t xml:space="preserve">2024-11-02</t>
  </si>
  <si>
    <t xml:space="preserve">2024-11-08</t>
  </si>
  <si>
    <t xml:space="preserve">2024-11-24</t>
  </si>
  <si>
    <t xml:space="preserve">2024-11-09</t>
  </si>
  <si>
    <t xml:space="preserve">2024-12-08</t>
  </si>
  <si>
    <t xml:space="preserve">Dec</t>
  </si>
  <si>
    <t xml:space="preserve">2024-12-12</t>
  </si>
  <si>
    <t xml:space="preserve">2024-12-28</t>
  </si>
  <si>
    <t xml:space="preserve">2024-12-01</t>
  </si>
  <si>
    <t xml:space="preserve">2024-12-19</t>
  </si>
  <si>
    <t xml:space="preserve">2024-12-09</t>
  </si>
  <si>
    <t xml:space="preserve">2024-12-22</t>
  </si>
  <si>
    <t xml:space="preserve">2024-12-14</t>
  </si>
  <si>
    <t xml:space="preserve">2024-12-25</t>
  </si>
  <si>
    <t xml:space="preserve">2024-12-20</t>
  </si>
  <si>
    <t xml:space="preserve">2024-12-23</t>
  </si>
  <si>
    <t xml:space="preserve">🎯  Annual Sales Targets by Rep</t>
  </si>
  <si>
    <t xml:space="preserve">Annual Target ($)</t>
  </si>
  <si>
    <t xml:space="preserve">📅  Monthly Revenue Summary by Sales Rep (2024)</t>
  </si>
  <si>
    <t xml:space="preserve">Total</t>
  </si>
  <si>
    <t xml:space="preserve">GRAND TOTAL</t>
  </si>
  <si>
    <t xml:space="preserve">📊  Sales KPI Dashboard — 2024</t>
  </si>
  <si>
    <t xml:space="preserve">Total Revenue</t>
  </si>
  <si>
    <t xml:space="preserve">Total Target</t>
  </si>
  <si>
    <t xml:space="preserve">Avg Achievement</t>
  </si>
  <si>
    <t xml:space="preserve">Total Deals</t>
  </si>
  <si>
    <t xml:space="preserve">Rep Performance Summary</t>
  </si>
  <si>
    <t xml:space="preserve">Total Revenue ($)</t>
  </si>
  <si>
    <t xml:space="preserve">Total Target ($)</t>
  </si>
  <si>
    <t xml:space="preserve">Achievement %</t>
  </si>
  <si>
    <t xml:space="preserve">Deals Closed</t>
  </si>
  <si>
    <t xml:space="preserve">Avg Deal Size ($)</t>
  </si>
  <si>
    <t xml:space="preserve">📦  Product Performance Analysis — 2024</t>
  </si>
  <si>
    <t xml:space="preserve">Avg Unit Price ($)</t>
  </si>
  <si>
    <t xml:space="preserve">Deals</t>
  </si>
  <si>
    <t xml:space="preserve">% of Total Revenue</t>
  </si>
  <si>
    <t xml:space="preserve">TOTAL</t>
  </si>
  <si>
    <t xml:space="preserve">100%</t>
  </si>
  <si>
    <t xml:space="preserve">📈  Quarterly Performance Analysis — 2024</t>
  </si>
  <si>
    <t xml:space="preserve">QoQ Growth</t>
  </si>
  <si>
    <t xml:space="preserve">"—"</t>
  </si>
  <si>
    <t xml:space="preserve">FULL YEAR</t>
  </si>
  <si>
    <t xml:space="preserve">🗺️  Regional Sales Breakdown — 2024</t>
  </si>
  <si>
    <t xml:space="preserve">% of Total</t>
  </si>
  <si>
    <t xml:space="preserve">⚡  Power BI Setup Guide for This Workbook</t>
  </si>
  <si>
    <t xml:space="preserve">STEP 1 — Import Data</t>
  </si>
  <si>
    <t xml:space="preserve">Open Power BI Desktop → Get Data → Excel Workbook → Select this file → Load all sheets</t>
  </si>
  <si>
    <t xml:space="preserve">STEP 2 — Set Relationships</t>
  </si>
  <si>
    <t xml:space="preserve">Model View → Link 'Sales Data'[Sales Rep] → 'Targets'[Sales Rep] and 'Sales Data'[Product] → 'Product Analysis'[Product]</t>
  </si>
  <si>
    <t xml:space="preserve">STEP 3 — KPI Cards (Revenue, Target, Achievement)</t>
  </si>
  <si>
    <t xml:space="preserve">Use CARD visual. Drag [Revenue ($)] and [Target ($)]. Create measure: Achievement = DIVIDE(SUM([Revenue ($)]),SUM([Target ($)]))</t>
  </si>
  <si>
    <t xml:space="preserve">STEP 4 — Bar Chart: Revenue by Rep</t>
  </si>
  <si>
    <t xml:space="preserve">Use CLUSTERED BAR chart. Axis = Sales Rep. Values = SUM(Revenue). Add Target as second series for comparison.</t>
  </si>
  <si>
    <t xml:space="preserve">STEP 5 — Line Chart: Monthly Trend</t>
  </si>
  <si>
    <t xml:space="preserve">Use LINE chart. X-Axis = Month (sort Jan-Dec). Y-Axis = SUM(Revenue). Add a trend line.</t>
  </si>
  <si>
    <t xml:space="preserve">STEP 6 — Map Visual: Revenue by Region</t>
  </si>
  <si>
    <t xml:space="preserve">Use MAP visual. Location = Region. Bubble Size = SUM(Revenue). Color = Achievement %.</t>
  </si>
  <si>
    <t xml:space="preserve">STEP 7 — Matrix: Rep × Product</t>
  </si>
  <si>
    <t xml:space="preserve">Use MATRIX visual. Rows = Sales Rep. Columns = Product. Values = SUM(Revenue). Enable conditional formatting on values.</t>
  </si>
  <si>
    <t xml:space="preserve">STEP 8 — Slicer Filters</t>
  </si>
  <si>
    <t xml:space="preserve">Add SLICERS for: Quarter, Region, Segment, Product Category. Set to single-select dropdown style.</t>
  </si>
  <si>
    <t xml:space="preserve">STEP 9 — Target vs Actual</t>
  </si>
  <si>
    <t xml:space="preserve">Use GAUGE or BULLET chart. Target = SUM(Target $). Actual = SUM(Revenue $). Color code: Red &lt; 80%, Yellow 80-100%, Green &gt; 100%.</t>
  </si>
  <si>
    <t xml:space="preserve">KEY DAX MEASURES</t>
  </si>
  <si>
    <t xml:space="preserve">Total Revenue = SUM('Sales Data'[Revenue ($)])
Total Target = SUM('Sales Data'[Target ($)])
Achievement % = DIVIDE([Total Revenue],[Total Target])
Deals Won = COUNTROWS('Sales Data')
Avg Deal Size = DIVIDE([Total Revenue],[Deals Won])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</si>
</sst>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0.0%"/>
    <numFmt numFmtId="167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00B0F0"/>
        <bgColor rgb="FF33CCCC"/>
      </patternFill>
    </fill>
    <fill>
      <patternFill patternType="solid">
        <fgColor rgb="FF70AD47"/>
        <bgColor rgb="FF339966"/>
      </patternFill>
    </fill>
    <fill>
      <patternFill patternType="solid">
        <fgColor rgb="FFED7D31"/>
        <bgColor rgb="FFFF8080"/>
      </patternFill>
    </fill>
    <fill>
      <patternFill patternType="solid">
        <fgColor rgb="FFFFFFFF"/>
        <bgColor rgb="FFF2F2F2"/>
      </patternFill>
    </fill>
    <fill>
      <patternFill patternType="solid">
        <fgColor rgb="FFFF0000"/>
        <bgColor rgb="FF9933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3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3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9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9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9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4" fillId="1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D7D31"/>
      <rgbColor rgb="FF66669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10"/>
    <col collapsed="false" customWidth="true" hidden="false" outlineLevel="0" max="14" min="14" style="0" width="8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n">
        <v>1001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3" t="n">
        <v>12000</v>
      </c>
      <c r="I2" s="2" t="n">
        <v>1</v>
      </c>
      <c r="J2" s="3" t="n">
        <v>12840</v>
      </c>
      <c r="K2" s="3" t="n">
        <v>11400</v>
      </c>
      <c r="L2" s="4" t="n">
        <v>1.12631578947368</v>
      </c>
      <c r="M2" s="2" t="s">
        <v>20</v>
      </c>
      <c r="N2" s="2" t="s">
        <v>21</v>
      </c>
    </row>
    <row r="3" customFormat="false" ht="15" hidden="false" customHeight="false" outlineLevel="0" collapsed="false">
      <c r="A3" s="5" t="n">
        <v>1002</v>
      </c>
      <c r="B3" s="5" t="s">
        <v>22</v>
      </c>
      <c r="C3" s="5" t="s">
        <v>15</v>
      </c>
      <c r="D3" s="5" t="s">
        <v>16</v>
      </c>
      <c r="E3" s="5" t="s">
        <v>17</v>
      </c>
      <c r="F3" s="5" t="s">
        <v>23</v>
      </c>
      <c r="G3" s="5" t="s">
        <v>24</v>
      </c>
      <c r="H3" s="6" t="n">
        <v>20000</v>
      </c>
      <c r="I3" s="5" t="n">
        <v>2</v>
      </c>
      <c r="J3" s="6" t="n">
        <v>42000</v>
      </c>
      <c r="K3" s="6" t="n">
        <v>43200</v>
      </c>
      <c r="L3" s="7" t="n">
        <v>0.972222222222222</v>
      </c>
      <c r="M3" s="5" t="s">
        <v>20</v>
      </c>
      <c r="N3" s="5" t="s">
        <v>21</v>
      </c>
    </row>
    <row r="4" customFormat="false" ht="15" hidden="false" customHeight="false" outlineLevel="0" collapsed="false">
      <c r="A4" s="2" t="n">
        <v>1003</v>
      </c>
      <c r="B4" s="2" t="s">
        <v>25</v>
      </c>
      <c r="C4" s="2" t="s">
        <v>15</v>
      </c>
      <c r="D4" s="2" t="s">
        <v>16</v>
      </c>
      <c r="E4" s="2" t="s">
        <v>17</v>
      </c>
      <c r="F4" s="2" t="s">
        <v>26</v>
      </c>
      <c r="G4" s="2" t="s">
        <v>27</v>
      </c>
      <c r="H4" s="3" t="n">
        <v>15000</v>
      </c>
      <c r="I4" s="2" t="n">
        <v>7</v>
      </c>
      <c r="J4" s="3" t="n">
        <v>90300</v>
      </c>
      <c r="K4" s="3" t="n">
        <v>96600</v>
      </c>
      <c r="L4" s="4" t="n">
        <v>0.934782608695652</v>
      </c>
      <c r="M4" s="2" t="s">
        <v>20</v>
      </c>
      <c r="N4" s="2" t="s">
        <v>21</v>
      </c>
    </row>
    <row r="5" customFormat="false" ht="15" hidden="false" customHeight="false" outlineLevel="0" collapsed="false">
      <c r="A5" s="5" t="n">
        <v>1004</v>
      </c>
      <c r="B5" s="5" t="s">
        <v>28</v>
      </c>
      <c r="C5" s="5" t="s">
        <v>29</v>
      </c>
      <c r="D5" s="5" t="s">
        <v>30</v>
      </c>
      <c r="E5" s="5" t="s">
        <v>31</v>
      </c>
      <c r="F5" s="5" t="s">
        <v>26</v>
      </c>
      <c r="G5" s="5" t="s">
        <v>27</v>
      </c>
      <c r="H5" s="6" t="n">
        <v>15000</v>
      </c>
      <c r="I5" s="5" t="n">
        <v>1</v>
      </c>
      <c r="J5" s="6" t="n">
        <v>15300</v>
      </c>
      <c r="K5" s="6" t="n">
        <v>15600</v>
      </c>
      <c r="L5" s="7" t="n">
        <v>0.980769230769231</v>
      </c>
      <c r="M5" s="5" t="s">
        <v>20</v>
      </c>
      <c r="N5" s="5" t="s">
        <v>21</v>
      </c>
    </row>
    <row r="6" customFormat="false" ht="15" hidden="false" customHeight="false" outlineLevel="0" collapsed="false">
      <c r="A6" s="2" t="n">
        <v>1005</v>
      </c>
      <c r="B6" s="2" t="s">
        <v>32</v>
      </c>
      <c r="C6" s="2" t="s">
        <v>29</v>
      </c>
      <c r="D6" s="2" t="s">
        <v>30</v>
      </c>
      <c r="E6" s="2" t="s">
        <v>31</v>
      </c>
      <c r="F6" s="2" t="s">
        <v>26</v>
      </c>
      <c r="G6" s="2" t="s">
        <v>27</v>
      </c>
      <c r="H6" s="3" t="n">
        <v>15000</v>
      </c>
      <c r="I6" s="2" t="n">
        <v>7</v>
      </c>
      <c r="J6" s="3" t="n">
        <v>96600</v>
      </c>
      <c r="K6" s="3" t="n">
        <v>107100</v>
      </c>
      <c r="L6" s="4" t="n">
        <v>0.901960784313726</v>
      </c>
      <c r="M6" s="2" t="s">
        <v>20</v>
      </c>
      <c r="N6" s="2" t="s">
        <v>21</v>
      </c>
    </row>
    <row r="7" customFormat="false" ht="15" hidden="false" customHeight="false" outlineLevel="0" collapsed="false">
      <c r="A7" s="5" t="n">
        <v>1006</v>
      </c>
      <c r="B7" s="5" t="s">
        <v>14</v>
      </c>
      <c r="C7" s="5" t="s">
        <v>29</v>
      </c>
      <c r="D7" s="5" t="s">
        <v>30</v>
      </c>
      <c r="E7" s="5" t="s">
        <v>31</v>
      </c>
      <c r="F7" s="5" t="s">
        <v>18</v>
      </c>
      <c r="G7" s="5" t="s">
        <v>19</v>
      </c>
      <c r="H7" s="6" t="n">
        <v>12000</v>
      </c>
      <c r="I7" s="5" t="n">
        <v>3</v>
      </c>
      <c r="J7" s="6" t="n">
        <v>38160</v>
      </c>
      <c r="K7" s="6" t="n">
        <v>34920</v>
      </c>
      <c r="L7" s="7" t="n">
        <v>1.09278350515464</v>
      </c>
      <c r="M7" s="5" t="s">
        <v>20</v>
      </c>
      <c r="N7" s="5" t="s">
        <v>21</v>
      </c>
    </row>
    <row r="8" customFormat="false" ht="15" hidden="false" customHeight="false" outlineLevel="0" collapsed="false">
      <c r="A8" s="2" t="n">
        <v>1007</v>
      </c>
      <c r="B8" s="2" t="s">
        <v>33</v>
      </c>
      <c r="C8" s="2" t="s">
        <v>34</v>
      </c>
      <c r="D8" s="2" t="s">
        <v>35</v>
      </c>
      <c r="E8" s="2" t="s">
        <v>17</v>
      </c>
      <c r="F8" s="2" t="s">
        <v>36</v>
      </c>
      <c r="G8" s="2" t="s">
        <v>24</v>
      </c>
      <c r="H8" s="3" t="n">
        <v>8000</v>
      </c>
      <c r="I8" s="2" t="n">
        <v>2</v>
      </c>
      <c r="J8" s="3" t="n">
        <v>14080</v>
      </c>
      <c r="K8" s="3" t="n">
        <v>14720</v>
      </c>
      <c r="L8" s="4" t="n">
        <v>0.956521739130435</v>
      </c>
      <c r="M8" s="2" t="s">
        <v>20</v>
      </c>
      <c r="N8" s="2" t="s">
        <v>21</v>
      </c>
    </row>
    <row r="9" customFormat="false" ht="15" hidden="false" customHeight="false" outlineLevel="0" collapsed="false">
      <c r="A9" s="5" t="n">
        <v>1008</v>
      </c>
      <c r="B9" s="5" t="s">
        <v>37</v>
      </c>
      <c r="C9" s="5" t="s">
        <v>38</v>
      </c>
      <c r="D9" s="5" t="s">
        <v>39</v>
      </c>
      <c r="E9" s="5" t="s">
        <v>40</v>
      </c>
      <c r="F9" s="5" t="s">
        <v>26</v>
      </c>
      <c r="G9" s="5" t="s">
        <v>27</v>
      </c>
      <c r="H9" s="6" t="n">
        <v>15000</v>
      </c>
      <c r="I9" s="5" t="n">
        <v>5</v>
      </c>
      <c r="J9" s="6" t="n">
        <v>81750</v>
      </c>
      <c r="K9" s="6" t="n">
        <v>78750</v>
      </c>
      <c r="L9" s="7" t="n">
        <v>1.03809523809524</v>
      </c>
      <c r="M9" s="5" t="s">
        <v>20</v>
      </c>
      <c r="N9" s="5" t="s">
        <v>21</v>
      </c>
    </row>
    <row r="10" customFormat="false" ht="15" hidden="false" customHeight="false" outlineLevel="0" collapsed="false">
      <c r="A10" s="2" t="n">
        <v>1009</v>
      </c>
      <c r="B10" s="2" t="s">
        <v>41</v>
      </c>
      <c r="C10" s="2" t="s">
        <v>38</v>
      </c>
      <c r="D10" s="2" t="s">
        <v>39</v>
      </c>
      <c r="E10" s="2" t="s">
        <v>40</v>
      </c>
      <c r="F10" s="2" t="s">
        <v>18</v>
      </c>
      <c r="G10" s="2" t="s">
        <v>19</v>
      </c>
      <c r="H10" s="3" t="n">
        <v>12000</v>
      </c>
      <c r="I10" s="2" t="n">
        <v>7</v>
      </c>
      <c r="J10" s="3" t="n">
        <v>73080</v>
      </c>
      <c r="K10" s="3" t="n">
        <v>80640</v>
      </c>
      <c r="L10" s="4" t="n">
        <v>0.90625</v>
      </c>
      <c r="M10" s="2" t="s">
        <v>20</v>
      </c>
      <c r="N10" s="2" t="s">
        <v>21</v>
      </c>
    </row>
    <row r="11" customFormat="false" ht="15" hidden="false" customHeight="false" outlineLevel="0" collapsed="false">
      <c r="A11" s="5" t="n">
        <v>1010</v>
      </c>
      <c r="B11" s="5" t="s">
        <v>42</v>
      </c>
      <c r="C11" s="5" t="s">
        <v>43</v>
      </c>
      <c r="D11" s="5" t="s">
        <v>16</v>
      </c>
      <c r="E11" s="5" t="s">
        <v>31</v>
      </c>
      <c r="F11" s="5" t="s">
        <v>36</v>
      </c>
      <c r="G11" s="5" t="s">
        <v>24</v>
      </c>
      <c r="H11" s="6" t="n">
        <v>8000</v>
      </c>
      <c r="I11" s="5" t="n">
        <v>10</v>
      </c>
      <c r="J11" s="6" t="n">
        <v>72800</v>
      </c>
      <c r="K11" s="6" t="n">
        <v>72800</v>
      </c>
      <c r="L11" s="7" t="n">
        <v>1</v>
      </c>
      <c r="M11" s="5" t="s">
        <v>20</v>
      </c>
      <c r="N11" s="5" t="s">
        <v>21</v>
      </c>
    </row>
    <row r="12" customFormat="false" ht="15" hidden="false" customHeight="false" outlineLevel="0" collapsed="false">
      <c r="A12" s="2" t="n">
        <v>1011</v>
      </c>
      <c r="B12" s="2" t="s">
        <v>33</v>
      </c>
      <c r="C12" s="2" t="s">
        <v>43</v>
      </c>
      <c r="D12" s="2" t="s">
        <v>16</v>
      </c>
      <c r="E12" s="2" t="s">
        <v>31</v>
      </c>
      <c r="F12" s="2" t="s">
        <v>44</v>
      </c>
      <c r="G12" s="2" t="s">
        <v>19</v>
      </c>
      <c r="H12" s="3" t="n">
        <v>18000</v>
      </c>
      <c r="I12" s="2" t="n">
        <v>5</v>
      </c>
      <c r="J12" s="3" t="n">
        <v>103500</v>
      </c>
      <c r="K12" s="3" t="n">
        <v>96300</v>
      </c>
      <c r="L12" s="4" t="n">
        <v>1.07476635514019</v>
      </c>
      <c r="M12" s="2" t="s">
        <v>20</v>
      </c>
      <c r="N12" s="2" t="s">
        <v>21</v>
      </c>
    </row>
    <row r="13" customFormat="false" ht="15" hidden="false" customHeight="false" outlineLevel="0" collapsed="false">
      <c r="A13" s="5" t="n">
        <v>1012</v>
      </c>
      <c r="B13" s="5" t="s">
        <v>45</v>
      </c>
      <c r="C13" s="5" t="s">
        <v>43</v>
      </c>
      <c r="D13" s="5" t="s">
        <v>16</v>
      </c>
      <c r="E13" s="5" t="s">
        <v>31</v>
      </c>
      <c r="F13" s="5" t="s">
        <v>18</v>
      </c>
      <c r="G13" s="5" t="s">
        <v>19</v>
      </c>
      <c r="H13" s="6" t="n">
        <v>12000</v>
      </c>
      <c r="I13" s="5" t="n">
        <v>7</v>
      </c>
      <c r="J13" s="6" t="n">
        <v>78120</v>
      </c>
      <c r="K13" s="6" t="n">
        <v>86520</v>
      </c>
      <c r="L13" s="7" t="n">
        <v>0.902912621359223</v>
      </c>
      <c r="M13" s="5" t="s">
        <v>20</v>
      </c>
      <c r="N13" s="5" t="s">
        <v>21</v>
      </c>
    </row>
    <row r="14" customFormat="false" ht="15" hidden="false" customHeight="false" outlineLevel="0" collapsed="false">
      <c r="A14" s="2" t="n">
        <v>1013</v>
      </c>
      <c r="B14" s="2" t="s">
        <v>42</v>
      </c>
      <c r="C14" s="2" t="s">
        <v>46</v>
      </c>
      <c r="D14" s="2" t="s">
        <v>30</v>
      </c>
      <c r="E14" s="2" t="s">
        <v>40</v>
      </c>
      <c r="F14" s="2" t="s">
        <v>36</v>
      </c>
      <c r="G14" s="2" t="s">
        <v>24</v>
      </c>
      <c r="H14" s="3" t="n">
        <v>8000</v>
      </c>
      <c r="I14" s="2" t="n">
        <v>6</v>
      </c>
      <c r="J14" s="3" t="n">
        <v>43680</v>
      </c>
      <c r="K14" s="3" t="n">
        <v>45600</v>
      </c>
      <c r="L14" s="4" t="n">
        <v>0.957894736842105</v>
      </c>
      <c r="M14" s="2" t="s">
        <v>20</v>
      </c>
      <c r="N14" s="2" t="s">
        <v>21</v>
      </c>
    </row>
    <row r="15" customFormat="false" ht="15" hidden="false" customHeight="false" outlineLevel="0" collapsed="false">
      <c r="A15" s="5" t="n">
        <v>1014</v>
      </c>
      <c r="B15" s="5" t="s">
        <v>25</v>
      </c>
      <c r="C15" s="5" t="s">
        <v>47</v>
      </c>
      <c r="D15" s="5" t="s">
        <v>35</v>
      </c>
      <c r="E15" s="5" t="s">
        <v>17</v>
      </c>
      <c r="F15" s="5" t="s">
        <v>18</v>
      </c>
      <c r="G15" s="5" t="s">
        <v>19</v>
      </c>
      <c r="H15" s="6" t="n">
        <v>12000</v>
      </c>
      <c r="I15" s="5" t="n">
        <v>10</v>
      </c>
      <c r="J15" s="6" t="n">
        <v>124800</v>
      </c>
      <c r="K15" s="6" t="n">
        <v>121200</v>
      </c>
      <c r="L15" s="7" t="n">
        <v>1.02970297029703</v>
      </c>
      <c r="M15" s="5" t="s">
        <v>20</v>
      </c>
      <c r="N15" s="5" t="s">
        <v>21</v>
      </c>
    </row>
    <row r="16" customFormat="false" ht="15" hidden="false" customHeight="false" outlineLevel="0" collapsed="false">
      <c r="A16" s="2" t="n">
        <v>1015</v>
      </c>
      <c r="B16" s="2" t="s">
        <v>41</v>
      </c>
      <c r="C16" s="2" t="s">
        <v>47</v>
      </c>
      <c r="D16" s="2" t="s">
        <v>35</v>
      </c>
      <c r="E16" s="2" t="s">
        <v>17</v>
      </c>
      <c r="F16" s="2" t="s">
        <v>44</v>
      </c>
      <c r="G16" s="2" t="s">
        <v>19</v>
      </c>
      <c r="H16" s="3" t="n">
        <v>18000</v>
      </c>
      <c r="I16" s="2" t="n">
        <v>8</v>
      </c>
      <c r="J16" s="3" t="n">
        <v>138240</v>
      </c>
      <c r="K16" s="3" t="n">
        <v>158400</v>
      </c>
      <c r="L16" s="4" t="n">
        <v>0.872727272727273</v>
      </c>
      <c r="M16" s="2" t="s">
        <v>20</v>
      </c>
      <c r="N16" s="2" t="s">
        <v>21</v>
      </c>
    </row>
    <row r="17" customFormat="false" ht="15" hidden="false" customHeight="false" outlineLevel="0" collapsed="false">
      <c r="A17" s="5" t="n">
        <v>1016</v>
      </c>
      <c r="B17" s="5" t="s">
        <v>48</v>
      </c>
      <c r="C17" s="5" t="s">
        <v>47</v>
      </c>
      <c r="D17" s="5" t="s">
        <v>35</v>
      </c>
      <c r="E17" s="5" t="s">
        <v>17</v>
      </c>
      <c r="F17" s="5" t="s">
        <v>23</v>
      </c>
      <c r="G17" s="5" t="s">
        <v>24</v>
      </c>
      <c r="H17" s="6" t="n">
        <v>20000</v>
      </c>
      <c r="I17" s="5" t="n">
        <v>9</v>
      </c>
      <c r="J17" s="6" t="n">
        <v>165600</v>
      </c>
      <c r="K17" s="6" t="n">
        <v>172800</v>
      </c>
      <c r="L17" s="7" t="n">
        <v>0.958333333333333</v>
      </c>
      <c r="M17" s="5" t="s">
        <v>20</v>
      </c>
      <c r="N17" s="5" t="s">
        <v>21</v>
      </c>
    </row>
    <row r="18" customFormat="false" ht="15" hidden="false" customHeight="false" outlineLevel="0" collapsed="false">
      <c r="A18" s="2" t="n">
        <v>1017</v>
      </c>
      <c r="B18" s="2" t="s">
        <v>22</v>
      </c>
      <c r="C18" s="2" t="s">
        <v>49</v>
      </c>
      <c r="D18" s="2" t="s">
        <v>39</v>
      </c>
      <c r="E18" s="2" t="s">
        <v>31</v>
      </c>
      <c r="F18" s="2" t="s">
        <v>44</v>
      </c>
      <c r="G18" s="2" t="s">
        <v>19</v>
      </c>
      <c r="H18" s="3" t="n">
        <v>18000</v>
      </c>
      <c r="I18" s="2" t="n">
        <v>1</v>
      </c>
      <c r="J18" s="3" t="n">
        <v>19620</v>
      </c>
      <c r="K18" s="3" t="n">
        <v>17640</v>
      </c>
      <c r="L18" s="4" t="n">
        <v>1.11224489795918</v>
      </c>
      <c r="M18" s="2" t="s">
        <v>20</v>
      </c>
      <c r="N18" s="2" t="s">
        <v>21</v>
      </c>
    </row>
    <row r="19" customFormat="false" ht="15" hidden="false" customHeight="false" outlineLevel="0" collapsed="false">
      <c r="A19" s="5" t="n">
        <v>1018</v>
      </c>
      <c r="B19" s="5" t="s">
        <v>41</v>
      </c>
      <c r="C19" s="5" t="s">
        <v>50</v>
      </c>
      <c r="D19" s="5" t="s">
        <v>16</v>
      </c>
      <c r="E19" s="5" t="s">
        <v>40</v>
      </c>
      <c r="F19" s="5" t="s">
        <v>26</v>
      </c>
      <c r="G19" s="5" t="s">
        <v>27</v>
      </c>
      <c r="H19" s="6" t="n">
        <v>15000</v>
      </c>
      <c r="I19" s="5" t="n">
        <v>6</v>
      </c>
      <c r="J19" s="6" t="n">
        <v>81900</v>
      </c>
      <c r="K19" s="6" t="n">
        <v>90000</v>
      </c>
      <c r="L19" s="7" t="n">
        <v>0.91</v>
      </c>
      <c r="M19" s="5" t="s">
        <v>20</v>
      </c>
      <c r="N19" s="5" t="s">
        <v>21</v>
      </c>
    </row>
    <row r="20" customFormat="false" ht="15" hidden="false" customHeight="false" outlineLevel="0" collapsed="false">
      <c r="A20" s="2" t="n">
        <v>1019</v>
      </c>
      <c r="B20" s="2" t="s">
        <v>37</v>
      </c>
      <c r="C20" s="2" t="s">
        <v>51</v>
      </c>
      <c r="D20" s="2" t="s">
        <v>30</v>
      </c>
      <c r="E20" s="2" t="s">
        <v>17</v>
      </c>
      <c r="F20" s="2" t="s">
        <v>44</v>
      </c>
      <c r="G20" s="2" t="s">
        <v>19</v>
      </c>
      <c r="H20" s="3" t="n">
        <v>18000</v>
      </c>
      <c r="I20" s="2" t="n">
        <v>5</v>
      </c>
      <c r="J20" s="3" t="n">
        <v>80100</v>
      </c>
      <c r="K20" s="3" t="n">
        <v>94500</v>
      </c>
      <c r="L20" s="4" t="n">
        <v>0.847619047619048</v>
      </c>
      <c r="M20" s="2" t="s">
        <v>20</v>
      </c>
      <c r="N20" s="2" t="s">
        <v>21</v>
      </c>
    </row>
    <row r="21" customFormat="false" ht="15" hidden="false" customHeight="false" outlineLevel="0" collapsed="false">
      <c r="A21" s="5" t="n">
        <v>1020</v>
      </c>
      <c r="B21" s="5" t="s">
        <v>45</v>
      </c>
      <c r="C21" s="5" t="s">
        <v>51</v>
      </c>
      <c r="D21" s="5" t="s">
        <v>30</v>
      </c>
      <c r="E21" s="5" t="s">
        <v>17</v>
      </c>
      <c r="F21" s="5" t="s">
        <v>36</v>
      </c>
      <c r="G21" s="5" t="s">
        <v>24</v>
      </c>
      <c r="H21" s="6" t="n">
        <v>8000</v>
      </c>
      <c r="I21" s="5" t="n">
        <v>10</v>
      </c>
      <c r="J21" s="6" t="n">
        <v>78400</v>
      </c>
      <c r="K21" s="6" t="n">
        <v>81600</v>
      </c>
      <c r="L21" s="7" t="n">
        <v>0.96078431372549</v>
      </c>
      <c r="M21" s="5" t="s">
        <v>20</v>
      </c>
      <c r="N21" s="5" t="s">
        <v>21</v>
      </c>
    </row>
    <row r="22" customFormat="false" ht="15" hidden="false" customHeight="false" outlineLevel="0" collapsed="false">
      <c r="A22" s="2" t="n">
        <v>1021</v>
      </c>
      <c r="B22" s="2" t="s">
        <v>52</v>
      </c>
      <c r="C22" s="2" t="s">
        <v>15</v>
      </c>
      <c r="D22" s="2" t="s">
        <v>16</v>
      </c>
      <c r="E22" s="2" t="s">
        <v>17</v>
      </c>
      <c r="F22" s="2" t="s">
        <v>44</v>
      </c>
      <c r="G22" s="2" t="s">
        <v>19</v>
      </c>
      <c r="H22" s="3" t="n">
        <v>18000</v>
      </c>
      <c r="I22" s="2" t="n">
        <v>9</v>
      </c>
      <c r="J22" s="3" t="n">
        <v>162000</v>
      </c>
      <c r="K22" s="3" t="n">
        <v>170100</v>
      </c>
      <c r="L22" s="4" t="n">
        <v>0.952380952380952</v>
      </c>
      <c r="M22" s="2" t="s">
        <v>20</v>
      </c>
      <c r="N22" s="2" t="s">
        <v>53</v>
      </c>
    </row>
    <row r="23" customFormat="false" ht="15" hidden="false" customHeight="false" outlineLevel="0" collapsed="false">
      <c r="A23" s="5" t="n">
        <v>1022</v>
      </c>
      <c r="B23" s="5" t="s">
        <v>54</v>
      </c>
      <c r="C23" s="5" t="s">
        <v>29</v>
      </c>
      <c r="D23" s="5" t="s">
        <v>30</v>
      </c>
      <c r="E23" s="5" t="s">
        <v>31</v>
      </c>
      <c r="F23" s="5" t="s">
        <v>44</v>
      </c>
      <c r="G23" s="5" t="s">
        <v>19</v>
      </c>
      <c r="H23" s="6" t="n">
        <v>18000</v>
      </c>
      <c r="I23" s="5" t="n">
        <v>3</v>
      </c>
      <c r="J23" s="6" t="n">
        <v>58860</v>
      </c>
      <c r="K23" s="6" t="n">
        <v>52920</v>
      </c>
      <c r="L23" s="7" t="n">
        <v>1.11224489795918</v>
      </c>
      <c r="M23" s="5" t="s">
        <v>20</v>
      </c>
      <c r="N23" s="5" t="s">
        <v>53</v>
      </c>
    </row>
    <row r="24" customFormat="false" ht="15" hidden="false" customHeight="false" outlineLevel="0" collapsed="false">
      <c r="A24" s="2" t="n">
        <v>1023</v>
      </c>
      <c r="B24" s="2" t="s">
        <v>55</v>
      </c>
      <c r="C24" s="2" t="s">
        <v>34</v>
      </c>
      <c r="D24" s="2" t="s">
        <v>35</v>
      </c>
      <c r="E24" s="2" t="s">
        <v>17</v>
      </c>
      <c r="F24" s="2" t="s">
        <v>56</v>
      </c>
      <c r="G24" s="2" t="s">
        <v>57</v>
      </c>
      <c r="H24" s="3" t="n">
        <v>25000</v>
      </c>
      <c r="I24" s="2" t="n">
        <v>10</v>
      </c>
      <c r="J24" s="3" t="n">
        <v>287500</v>
      </c>
      <c r="K24" s="3" t="n">
        <v>252500</v>
      </c>
      <c r="L24" s="4" t="n">
        <v>1.13861386138614</v>
      </c>
      <c r="M24" s="2" t="s">
        <v>20</v>
      </c>
      <c r="N24" s="2" t="s">
        <v>53</v>
      </c>
    </row>
    <row r="25" customFormat="false" ht="15" hidden="false" customHeight="false" outlineLevel="0" collapsed="false">
      <c r="A25" s="5" t="n">
        <v>1024</v>
      </c>
      <c r="B25" s="5" t="s">
        <v>58</v>
      </c>
      <c r="C25" s="5" t="s">
        <v>34</v>
      </c>
      <c r="D25" s="5" t="s">
        <v>35</v>
      </c>
      <c r="E25" s="5" t="s">
        <v>17</v>
      </c>
      <c r="F25" s="5" t="s">
        <v>18</v>
      </c>
      <c r="G25" s="5" t="s">
        <v>19</v>
      </c>
      <c r="H25" s="6" t="n">
        <v>12000</v>
      </c>
      <c r="I25" s="5" t="n">
        <v>2</v>
      </c>
      <c r="J25" s="6" t="n">
        <v>25200</v>
      </c>
      <c r="K25" s="6" t="n">
        <v>24240</v>
      </c>
      <c r="L25" s="7" t="n">
        <v>1.03960396039604</v>
      </c>
      <c r="M25" s="5" t="s">
        <v>20</v>
      </c>
      <c r="N25" s="5" t="s">
        <v>53</v>
      </c>
    </row>
    <row r="26" customFormat="false" ht="15" hidden="false" customHeight="false" outlineLevel="0" collapsed="false">
      <c r="A26" s="2" t="n">
        <v>1025</v>
      </c>
      <c r="B26" s="2" t="s">
        <v>59</v>
      </c>
      <c r="C26" s="2" t="s">
        <v>38</v>
      </c>
      <c r="D26" s="2" t="s">
        <v>39</v>
      </c>
      <c r="E26" s="2" t="s">
        <v>40</v>
      </c>
      <c r="F26" s="2" t="s">
        <v>36</v>
      </c>
      <c r="G26" s="2" t="s">
        <v>24</v>
      </c>
      <c r="H26" s="3" t="n">
        <v>8000</v>
      </c>
      <c r="I26" s="2" t="n">
        <v>2</v>
      </c>
      <c r="J26" s="3" t="n">
        <v>15040</v>
      </c>
      <c r="K26" s="3" t="n">
        <v>14880</v>
      </c>
      <c r="L26" s="4" t="n">
        <v>1.01075268817204</v>
      </c>
      <c r="M26" s="2" t="s">
        <v>20</v>
      </c>
      <c r="N26" s="2" t="s">
        <v>53</v>
      </c>
    </row>
    <row r="27" customFormat="false" ht="15" hidden="false" customHeight="false" outlineLevel="0" collapsed="false">
      <c r="A27" s="5" t="n">
        <v>1026</v>
      </c>
      <c r="B27" s="5" t="s">
        <v>60</v>
      </c>
      <c r="C27" s="5" t="s">
        <v>38</v>
      </c>
      <c r="D27" s="5" t="s">
        <v>39</v>
      </c>
      <c r="E27" s="5" t="s">
        <v>40</v>
      </c>
      <c r="F27" s="5" t="s">
        <v>23</v>
      </c>
      <c r="G27" s="5" t="s">
        <v>24</v>
      </c>
      <c r="H27" s="6" t="n">
        <v>20000</v>
      </c>
      <c r="I27" s="5" t="n">
        <v>5</v>
      </c>
      <c r="J27" s="6" t="n">
        <v>114000</v>
      </c>
      <c r="K27" s="6" t="n">
        <v>105000</v>
      </c>
      <c r="L27" s="7" t="n">
        <v>1.08571428571429</v>
      </c>
      <c r="M27" s="5" t="s">
        <v>20</v>
      </c>
      <c r="N27" s="5" t="s">
        <v>53</v>
      </c>
    </row>
    <row r="28" customFormat="false" ht="15" hidden="false" customHeight="false" outlineLevel="0" collapsed="false">
      <c r="A28" s="2" t="n">
        <v>1027</v>
      </c>
      <c r="B28" s="2" t="s">
        <v>61</v>
      </c>
      <c r="C28" s="2" t="s">
        <v>38</v>
      </c>
      <c r="D28" s="2" t="s">
        <v>39</v>
      </c>
      <c r="E28" s="2" t="s">
        <v>40</v>
      </c>
      <c r="F28" s="2" t="s">
        <v>18</v>
      </c>
      <c r="G28" s="2" t="s">
        <v>19</v>
      </c>
      <c r="H28" s="3" t="n">
        <v>12000</v>
      </c>
      <c r="I28" s="2" t="n">
        <v>5</v>
      </c>
      <c r="J28" s="3" t="n">
        <v>66000</v>
      </c>
      <c r="K28" s="3" t="n">
        <v>60000</v>
      </c>
      <c r="L28" s="4" t="n">
        <v>1.1</v>
      </c>
      <c r="M28" s="2" t="s">
        <v>20</v>
      </c>
      <c r="N28" s="2" t="s">
        <v>53</v>
      </c>
    </row>
    <row r="29" customFormat="false" ht="15" hidden="false" customHeight="false" outlineLevel="0" collapsed="false">
      <c r="A29" s="5" t="n">
        <v>1028</v>
      </c>
      <c r="B29" s="5" t="s">
        <v>60</v>
      </c>
      <c r="C29" s="5" t="s">
        <v>43</v>
      </c>
      <c r="D29" s="5" t="s">
        <v>16</v>
      </c>
      <c r="E29" s="5" t="s">
        <v>31</v>
      </c>
      <c r="F29" s="5" t="s">
        <v>36</v>
      </c>
      <c r="G29" s="5" t="s">
        <v>24</v>
      </c>
      <c r="H29" s="6" t="n">
        <v>8000</v>
      </c>
      <c r="I29" s="5" t="n">
        <v>3</v>
      </c>
      <c r="J29" s="6" t="n">
        <v>24240</v>
      </c>
      <c r="K29" s="6" t="n">
        <v>25440</v>
      </c>
      <c r="L29" s="7" t="n">
        <v>0.952830188679245</v>
      </c>
      <c r="M29" s="5" t="s">
        <v>20</v>
      </c>
      <c r="N29" s="5" t="s">
        <v>53</v>
      </c>
    </row>
    <row r="30" customFormat="false" ht="15" hidden="false" customHeight="false" outlineLevel="0" collapsed="false">
      <c r="A30" s="2" t="n">
        <v>1029</v>
      </c>
      <c r="B30" s="2" t="s">
        <v>62</v>
      </c>
      <c r="C30" s="2" t="s">
        <v>46</v>
      </c>
      <c r="D30" s="2" t="s">
        <v>30</v>
      </c>
      <c r="E30" s="2" t="s">
        <v>40</v>
      </c>
      <c r="F30" s="2" t="s">
        <v>26</v>
      </c>
      <c r="G30" s="2" t="s">
        <v>27</v>
      </c>
      <c r="H30" s="3" t="n">
        <v>15000</v>
      </c>
      <c r="I30" s="2" t="n">
        <v>6</v>
      </c>
      <c r="J30" s="3" t="n">
        <v>90000</v>
      </c>
      <c r="K30" s="3" t="n">
        <v>82800</v>
      </c>
      <c r="L30" s="4" t="n">
        <v>1.08695652173913</v>
      </c>
      <c r="M30" s="2" t="s">
        <v>20</v>
      </c>
      <c r="N30" s="2" t="s">
        <v>53</v>
      </c>
    </row>
    <row r="31" customFormat="false" ht="15" hidden="false" customHeight="false" outlineLevel="0" collapsed="false">
      <c r="A31" s="5" t="n">
        <v>1030</v>
      </c>
      <c r="B31" s="5" t="s">
        <v>54</v>
      </c>
      <c r="C31" s="5" t="s">
        <v>47</v>
      </c>
      <c r="D31" s="5" t="s">
        <v>35</v>
      </c>
      <c r="E31" s="5" t="s">
        <v>17</v>
      </c>
      <c r="F31" s="5" t="s">
        <v>44</v>
      </c>
      <c r="G31" s="5" t="s">
        <v>19</v>
      </c>
      <c r="H31" s="6" t="n">
        <v>18000</v>
      </c>
      <c r="I31" s="5" t="n">
        <v>1</v>
      </c>
      <c r="J31" s="6" t="n">
        <v>16560</v>
      </c>
      <c r="K31" s="6" t="n">
        <v>18180</v>
      </c>
      <c r="L31" s="7" t="n">
        <v>0.910891089108911</v>
      </c>
      <c r="M31" s="5" t="s">
        <v>20</v>
      </c>
      <c r="N31" s="5" t="s">
        <v>53</v>
      </c>
    </row>
    <row r="32" customFormat="false" ht="15" hidden="false" customHeight="false" outlineLevel="0" collapsed="false">
      <c r="A32" s="2" t="n">
        <v>1031</v>
      </c>
      <c r="B32" s="2" t="s">
        <v>55</v>
      </c>
      <c r="C32" s="2" t="s">
        <v>47</v>
      </c>
      <c r="D32" s="2" t="s">
        <v>35</v>
      </c>
      <c r="E32" s="2" t="s">
        <v>17</v>
      </c>
      <c r="F32" s="2" t="s">
        <v>18</v>
      </c>
      <c r="G32" s="2" t="s">
        <v>19</v>
      </c>
      <c r="H32" s="3" t="n">
        <v>12000</v>
      </c>
      <c r="I32" s="2" t="n">
        <v>8</v>
      </c>
      <c r="J32" s="3" t="n">
        <v>104640</v>
      </c>
      <c r="K32" s="3" t="n">
        <v>105600</v>
      </c>
      <c r="L32" s="4" t="n">
        <v>0.990909090909091</v>
      </c>
      <c r="M32" s="2" t="s">
        <v>20</v>
      </c>
      <c r="N32" s="2" t="s">
        <v>53</v>
      </c>
    </row>
    <row r="33" customFormat="false" ht="15" hidden="false" customHeight="false" outlineLevel="0" collapsed="false">
      <c r="A33" s="5" t="n">
        <v>1032</v>
      </c>
      <c r="B33" s="5" t="s">
        <v>60</v>
      </c>
      <c r="C33" s="5" t="s">
        <v>49</v>
      </c>
      <c r="D33" s="5" t="s">
        <v>39</v>
      </c>
      <c r="E33" s="5" t="s">
        <v>31</v>
      </c>
      <c r="F33" s="5" t="s">
        <v>44</v>
      </c>
      <c r="G33" s="5" t="s">
        <v>19</v>
      </c>
      <c r="H33" s="6" t="n">
        <v>18000</v>
      </c>
      <c r="I33" s="5" t="n">
        <v>8</v>
      </c>
      <c r="J33" s="6" t="n">
        <v>162720</v>
      </c>
      <c r="K33" s="6" t="n">
        <v>133920</v>
      </c>
      <c r="L33" s="7" t="n">
        <v>1.21505376344086</v>
      </c>
      <c r="M33" s="5" t="s">
        <v>20</v>
      </c>
      <c r="N33" s="5" t="s">
        <v>53</v>
      </c>
    </row>
    <row r="34" customFormat="false" ht="15" hidden="false" customHeight="false" outlineLevel="0" collapsed="false">
      <c r="A34" s="2" t="n">
        <v>1033</v>
      </c>
      <c r="B34" s="2" t="s">
        <v>63</v>
      </c>
      <c r="C34" s="2" t="s">
        <v>50</v>
      </c>
      <c r="D34" s="2" t="s">
        <v>16</v>
      </c>
      <c r="E34" s="2" t="s">
        <v>40</v>
      </c>
      <c r="F34" s="2" t="s">
        <v>56</v>
      </c>
      <c r="G34" s="2" t="s">
        <v>57</v>
      </c>
      <c r="H34" s="3" t="n">
        <v>25000</v>
      </c>
      <c r="I34" s="2" t="n">
        <v>4</v>
      </c>
      <c r="J34" s="3" t="n">
        <v>113000</v>
      </c>
      <c r="K34" s="3" t="n">
        <v>105000</v>
      </c>
      <c r="L34" s="4" t="n">
        <v>1.07619047619048</v>
      </c>
      <c r="M34" s="2" t="s">
        <v>20</v>
      </c>
      <c r="N34" s="2" t="s">
        <v>53</v>
      </c>
    </row>
    <row r="35" customFormat="false" ht="15" hidden="false" customHeight="false" outlineLevel="0" collapsed="false">
      <c r="A35" s="5" t="n">
        <v>1034</v>
      </c>
      <c r="B35" s="5" t="s">
        <v>62</v>
      </c>
      <c r="C35" s="5" t="s">
        <v>50</v>
      </c>
      <c r="D35" s="5" t="s">
        <v>16</v>
      </c>
      <c r="E35" s="5" t="s">
        <v>40</v>
      </c>
      <c r="F35" s="5" t="s">
        <v>44</v>
      </c>
      <c r="G35" s="5" t="s">
        <v>19</v>
      </c>
      <c r="H35" s="6" t="n">
        <v>18000</v>
      </c>
      <c r="I35" s="5" t="n">
        <v>5</v>
      </c>
      <c r="J35" s="6" t="n">
        <v>87300</v>
      </c>
      <c r="K35" s="6" t="n">
        <v>92700</v>
      </c>
      <c r="L35" s="7" t="n">
        <v>0.941747572815534</v>
      </c>
      <c r="M35" s="5" t="s">
        <v>20</v>
      </c>
      <c r="N35" s="5" t="s">
        <v>53</v>
      </c>
    </row>
    <row r="36" customFormat="false" ht="15" hidden="false" customHeight="false" outlineLevel="0" collapsed="false">
      <c r="A36" s="2" t="n">
        <v>1035</v>
      </c>
      <c r="B36" s="2" t="s">
        <v>54</v>
      </c>
      <c r="C36" s="2" t="s">
        <v>50</v>
      </c>
      <c r="D36" s="2" t="s">
        <v>16</v>
      </c>
      <c r="E36" s="2" t="s">
        <v>40</v>
      </c>
      <c r="F36" s="2" t="s">
        <v>56</v>
      </c>
      <c r="G36" s="2" t="s">
        <v>57</v>
      </c>
      <c r="H36" s="3" t="n">
        <v>25000</v>
      </c>
      <c r="I36" s="2" t="n">
        <v>9</v>
      </c>
      <c r="J36" s="3" t="n">
        <v>222750</v>
      </c>
      <c r="K36" s="3" t="n">
        <v>213750</v>
      </c>
      <c r="L36" s="4" t="n">
        <v>1.0421052631579</v>
      </c>
      <c r="M36" s="2" t="s">
        <v>20</v>
      </c>
      <c r="N36" s="2" t="s">
        <v>53</v>
      </c>
    </row>
    <row r="37" customFormat="false" ht="15" hidden="false" customHeight="false" outlineLevel="0" collapsed="false">
      <c r="A37" s="5" t="n">
        <v>1036</v>
      </c>
      <c r="B37" s="5" t="s">
        <v>59</v>
      </c>
      <c r="C37" s="5" t="s">
        <v>51</v>
      </c>
      <c r="D37" s="5" t="s">
        <v>30</v>
      </c>
      <c r="E37" s="5" t="s">
        <v>17</v>
      </c>
      <c r="F37" s="5" t="s">
        <v>18</v>
      </c>
      <c r="G37" s="5" t="s">
        <v>19</v>
      </c>
      <c r="H37" s="6" t="n">
        <v>12000</v>
      </c>
      <c r="I37" s="5" t="n">
        <v>10</v>
      </c>
      <c r="J37" s="6" t="n">
        <v>122400</v>
      </c>
      <c r="K37" s="6" t="n">
        <v>122400</v>
      </c>
      <c r="L37" s="7" t="n">
        <v>1</v>
      </c>
      <c r="M37" s="5" t="s">
        <v>20</v>
      </c>
      <c r="N37" s="5" t="s">
        <v>53</v>
      </c>
    </row>
    <row r="38" customFormat="false" ht="15" hidden="false" customHeight="false" outlineLevel="0" collapsed="false">
      <c r="A38" s="2" t="n">
        <v>1037</v>
      </c>
      <c r="B38" s="2" t="s">
        <v>52</v>
      </c>
      <c r="C38" s="2" t="s">
        <v>51</v>
      </c>
      <c r="D38" s="2" t="s">
        <v>30</v>
      </c>
      <c r="E38" s="2" t="s">
        <v>17</v>
      </c>
      <c r="F38" s="2" t="s">
        <v>18</v>
      </c>
      <c r="G38" s="2" t="s">
        <v>19</v>
      </c>
      <c r="H38" s="3" t="n">
        <v>12000</v>
      </c>
      <c r="I38" s="2" t="n">
        <v>1</v>
      </c>
      <c r="J38" s="3" t="n">
        <v>11040</v>
      </c>
      <c r="K38" s="3" t="n">
        <v>12960</v>
      </c>
      <c r="L38" s="4" t="n">
        <v>0.851851851851852</v>
      </c>
      <c r="M38" s="2" t="s">
        <v>20</v>
      </c>
      <c r="N38" s="2" t="s">
        <v>53</v>
      </c>
    </row>
    <row r="39" customFormat="false" ht="15" hidden="false" customHeight="false" outlineLevel="0" collapsed="false">
      <c r="A39" s="5" t="n">
        <v>1038</v>
      </c>
      <c r="B39" s="5" t="s">
        <v>64</v>
      </c>
      <c r="C39" s="5" t="s">
        <v>15</v>
      </c>
      <c r="D39" s="5" t="s">
        <v>16</v>
      </c>
      <c r="E39" s="5" t="s">
        <v>17</v>
      </c>
      <c r="F39" s="5" t="s">
        <v>18</v>
      </c>
      <c r="G39" s="5" t="s">
        <v>19</v>
      </c>
      <c r="H39" s="6" t="n">
        <v>12000</v>
      </c>
      <c r="I39" s="5" t="n">
        <v>9</v>
      </c>
      <c r="J39" s="6" t="n">
        <v>99360</v>
      </c>
      <c r="K39" s="6" t="n">
        <v>111240</v>
      </c>
      <c r="L39" s="7" t="n">
        <v>0.893203883495146</v>
      </c>
      <c r="M39" s="5" t="s">
        <v>20</v>
      </c>
      <c r="N39" s="5" t="s">
        <v>65</v>
      </c>
    </row>
    <row r="40" customFormat="false" ht="15" hidden="false" customHeight="false" outlineLevel="0" collapsed="false">
      <c r="A40" s="2" t="n">
        <v>1039</v>
      </c>
      <c r="B40" s="2" t="s">
        <v>66</v>
      </c>
      <c r="C40" s="2" t="s">
        <v>15</v>
      </c>
      <c r="D40" s="2" t="s">
        <v>16</v>
      </c>
      <c r="E40" s="2" t="s">
        <v>17</v>
      </c>
      <c r="F40" s="2" t="s">
        <v>26</v>
      </c>
      <c r="G40" s="2" t="s">
        <v>27</v>
      </c>
      <c r="H40" s="3" t="n">
        <v>15000</v>
      </c>
      <c r="I40" s="2" t="n">
        <v>3</v>
      </c>
      <c r="J40" s="3" t="n">
        <v>48150</v>
      </c>
      <c r="K40" s="3" t="n">
        <v>48600</v>
      </c>
      <c r="L40" s="4" t="n">
        <v>0.990740740740741</v>
      </c>
      <c r="M40" s="2" t="s">
        <v>20</v>
      </c>
      <c r="N40" s="2" t="s">
        <v>65</v>
      </c>
    </row>
    <row r="41" customFormat="false" ht="15" hidden="false" customHeight="false" outlineLevel="0" collapsed="false">
      <c r="A41" s="5" t="n">
        <v>1040</v>
      </c>
      <c r="B41" s="5" t="s">
        <v>67</v>
      </c>
      <c r="C41" s="5" t="s">
        <v>29</v>
      </c>
      <c r="D41" s="5" t="s">
        <v>30</v>
      </c>
      <c r="E41" s="5" t="s">
        <v>31</v>
      </c>
      <c r="F41" s="5" t="s">
        <v>44</v>
      </c>
      <c r="G41" s="5" t="s">
        <v>19</v>
      </c>
      <c r="H41" s="6" t="n">
        <v>18000</v>
      </c>
      <c r="I41" s="5" t="n">
        <v>8</v>
      </c>
      <c r="J41" s="6" t="n">
        <v>156960</v>
      </c>
      <c r="K41" s="6" t="n">
        <v>135360</v>
      </c>
      <c r="L41" s="7" t="n">
        <v>1.15957446808511</v>
      </c>
      <c r="M41" s="5" t="s">
        <v>20</v>
      </c>
      <c r="N41" s="5" t="s">
        <v>65</v>
      </c>
    </row>
    <row r="42" customFormat="false" ht="15" hidden="false" customHeight="false" outlineLevel="0" collapsed="false">
      <c r="A42" s="2" t="n">
        <v>1041</v>
      </c>
      <c r="B42" s="2" t="s">
        <v>68</v>
      </c>
      <c r="C42" s="2" t="s">
        <v>29</v>
      </c>
      <c r="D42" s="2" t="s">
        <v>30</v>
      </c>
      <c r="E42" s="2" t="s">
        <v>31</v>
      </c>
      <c r="F42" s="2" t="s">
        <v>23</v>
      </c>
      <c r="G42" s="2" t="s">
        <v>24</v>
      </c>
      <c r="H42" s="3" t="n">
        <v>20000</v>
      </c>
      <c r="I42" s="2" t="n">
        <v>7</v>
      </c>
      <c r="J42" s="3" t="n">
        <v>134400</v>
      </c>
      <c r="K42" s="3" t="n">
        <v>137200</v>
      </c>
      <c r="L42" s="4" t="n">
        <v>0.979591836734694</v>
      </c>
      <c r="M42" s="2" t="s">
        <v>20</v>
      </c>
      <c r="N42" s="2" t="s">
        <v>65</v>
      </c>
    </row>
    <row r="43" customFormat="false" ht="15" hidden="false" customHeight="false" outlineLevel="0" collapsed="false">
      <c r="A43" s="5" t="n">
        <v>1042</v>
      </c>
      <c r="B43" s="5" t="s">
        <v>69</v>
      </c>
      <c r="C43" s="5" t="s">
        <v>34</v>
      </c>
      <c r="D43" s="5" t="s">
        <v>35</v>
      </c>
      <c r="E43" s="5" t="s">
        <v>17</v>
      </c>
      <c r="F43" s="5" t="s">
        <v>18</v>
      </c>
      <c r="G43" s="5" t="s">
        <v>19</v>
      </c>
      <c r="H43" s="6" t="n">
        <v>12000</v>
      </c>
      <c r="I43" s="5" t="n">
        <v>2</v>
      </c>
      <c r="J43" s="6" t="n">
        <v>20880</v>
      </c>
      <c r="K43" s="6" t="n">
        <v>25200</v>
      </c>
      <c r="L43" s="7" t="n">
        <v>0.828571428571429</v>
      </c>
      <c r="M43" s="5" t="s">
        <v>20</v>
      </c>
      <c r="N43" s="5" t="s">
        <v>65</v>
      </c>
    </row>
    <row r="44" customFormat="false" ht="15" hidden="false" customHeight="false" outlineLevel="0" collapsed="false">
      <c r="A44" s="2" t="n">
        <v>1043</v>
      </c>
      <c r="B44" s="2" t="s">
        <v>70</v>
      </c>
      <c r="C44" s="2" t="s">
        <v>34</v>
      </c>
      <c r="D44" s="2" t="s">
        <v>35</v>
      </c>
      <c r="E44" s="2" t="s">
        <v>17</v>
      </c>
      <c r="F44" s="2" t="s">
        <v>18</v>
      </c>
      <c r="G44" s="2" t="s">
        <v>19</v>
      </c>
      <c r="H44" s="3" t="n">
        <v>12000</v>
      </c>
      <c r="I44" s="2" t="n">
        <v>4</v>
      </c>
      <c r="J44" s="3" t="n">
        <v>43680</v>
      </c>
      <c r="K44" s="3" t="n">
        <v>48480</v>
      </c>
      <c r="L44" s="4" t="n">
        <v>0.900990099009901</v>
      </c>
      <c r="M44" s="2" t="s">
        <v>20</v>
      </c>
      <c r="N44" s="2" t="s">
        <v>65</v>
      </c>
    </row>
    <row r="45" customFormat="false" ht="15" hidden="false" customHeight="false" outlineLevel="0" collapsed="false">
      <c r="A45" s="5" t="n">
        <v>1044</v>
      </c>
      <c r="B45" s="5" t="s">
        <v>71</v>
      </c>
      <c r="C45" s="5" t="s">
        <v>34</v>
      </c>
      <c r="D45" s="5" t="s">
        <v>35</v>
      </c>
      <c r="E45" s="5" t="s">
        <v>17</v>
      </c>
      <c r="F45" s="5" t="s">
        <v>56</v>
      </c>
      <c r="G45" s="5" t="s">
        <v>57</v>
      </c>
      <c r="H45" s="6" t="n">
        <v>25000</v>
      </c>
      <c r="I45" s="5" t="n">
        <v>3</v>
      </c>
      <c r="J45" s="6" t="n">
        <v>69750</v>
      </c>
      <c r="K45" s="6" t="n">
        <v>71250</v>
      </c>
      <c r="L45" s="7" t="n">
        <v>0.978947368421053</v>
      </c>
      <c r="M45" s="5" t="s">
        <v>20</v>
      </c>
      <c r="N45" s="5" t="s">
        <v>65</v>
      </c>
    </row>
    <row r="46" customFormat="false" ht="15" hidden="false" customHeight="false" outlineLevel="0" collapsed="false">
      <c r="A46" s="2" t="n">
        <v>1045</v>
      </c>
      <c r="B46" s="2" t="s">
        <v>72</v>
      </c>
      <c r="C46" s="2" t="s">
        <v>38</v>
      </c>
      <c r="D46" s="2" t="s">
        <v>39</v>
      </c>
      <c r="E46" s="2" t="s">
        <v>40</v>
      </c>
      <c r="F46" s="2" t="s">
        <v>26</v>
      </c>
      <c r="G46" s="2" t="s">
        <v>27</v>
      </c>
      <c r="H46" s="3" t="n">
        <v>15000</v>
      </c>
      <c r="I46" s="2" t="n">
        <v>2</v>
      </c>
      <c r="J46" s="3" t="n">
        <v>26100</v>
      </c>
      <c r="K46" s="3" t="n">
        <v>33000</v>
      </c>
      <c r="L46" s="4" t="n">
        <v>0.790909090909091</v>
      </c>
      <c r="M46" s="2" t="s">
        <v>20</v>
      </c>
      <c r="N46" s="2" t="s">
        <v>65</v>
      </c>
    </row>
    <row r="47" customFormat="false" ht="15" hidden="false" customHeight="false" outlineLevel="0" collapsed="false">
      <c r="A47" s="5" t="n">
        <v>1046</v>
      </c>
      <c r="B47" s="5" t="s">
        <v>73</v>
      </c>
      <c r="C47" s="5" t="s">
        <v>38</v>
      </c>
      <c r="D47" s="5" t="s">
        <v>39</v>
      </c>
      <c r="E47" s="5" t="s">
        <v>40</v>
      </c>
      <c r="F47" s="5" t="s">
        <v>18</v>
      </c>
      <c r="G47" s="5" t="s">
        <v>19</v>
      </c>
      <c r="H47" s="6" t="n">
        <v>12000</v>
      </c>
      <c r="I47" s="5" t="n">
        <v>2</v>
      </c>
      <c r="J47" s="6" t="n">
        <v>27120</v>
      </c>
      <c r="K47" s="6" t="n">
        <v>25680</v>
      </c>
      <c r="L47" s="7" t="n">
        <v>1.05607476635514</v>
      </c>
      <c r="M47" s="5" t="s">
        <v>20</v>
      </c>
      <c r="N47" s="5" t="s">
        <v>65</v>
      </c>
    </row>
    <row r="48" customFormat="false" ht="15" hidden="false" customHeight="false" outlineLevel="0" collapsed="false">
      <c r="A48" s="2" t="n">
        <v>1047</v>
      </c>
      <c r="B48" s="2" t="s">
        <v>74</v>
      </c>
      <c r="C48" s="2" t="s">
        <v>43</v>
      </c>
      <c r="D48" s="2" t="s">
        <v>16</v>
      </c>
      <c r="E48" s="2" t="s">
        <v>31</v>
      </c>
      <c r="F48" s="2" t="s">
        <v>56</v>
      </c>
      <c r="G48" s="2" t="s">
        <v>57</v>
      </c>
      <c r="H48" s="3" t="n">
        <v>25000</v>
      </c>
      <c r="I48" s="2" t="n">
        <v>8</v>
      </c>
      <c r="J48" s="3" t="n">
        <v>182000</v>
      </c>
      <c r="K48" s="3" t="n">
        <v>196000</v>
      </c>
      <c r="L48" s="4" t="n">
        <v>0.928571428571429</v>
      </c>
      <c r="M48" s="2" t="s">
        <v>20</v>
      </c>
      <c r="N48" s="2" t="s">
        <v>65</v>
      </c>
    </row>
    <row r="49" customFormat="false" ht="15" hidden="false" customHeight="false" outlineLevel="0" collapsed="false">
      <c r="A49" s="5" t="n">
        <v>1048</v>
      </c>
      <c r="B49" s="5" t="s">
        <v>69</v>
      </c>
      <c r="C49" s="5" t="s">
        <v>43</v>
      </c>
      <c r="D49" s="5" t="s">
        <v>16</v>
      </c>
      <c r="E49" s="5" t="s">
        <v>31</v>
      </c>
      <c r="F49" s="5" t="s">
        <v>44</v>
      </c>
      <c r="G49" s="5" t="s">
        <v>19</v>
      </c>
      <c r="H49" s="6" t="n">
        <v>18000</v>
      </c>
      <c r="I49" s="5" t="n">
        <v>7</v>
      </c>
      <c r="J49" s="6" t="n">
        <v>107100</v>
      </c>
      <c r="K49" s="6" t="n">
        <v>123480</v>
      </c>
      <c r="L49" s="7" t="n">
        <v>0.86734693877551</v>
      </c>
      <c r="M49" s="5" t="s">
        <v>20</v>
      </c>
      <c r="N49" s="5" t="s">
        <v>65</v>
      </c>
    </row>
    <row r="50" customFormat="false" ht="15" hidden="false" customHeight="false" outlineLevel="0" collapsed="false">
      <c r="A50" s="2" t="n">
        <v>1049</v>
      </c>
      <c r="B50" s="2" t="s">
        <v>69</v>
      </c>
      <c r="C50" s="2" t="s">
        <v>46</v>
      </c>
      <c r="D50" s="2" t="s">
        <v>30</v>
      </c>
      <c r="E50" s="2" t="s">
        <v>40</v>
      </c>
      <c r="F50" s="2" t="s">
        <v>36</v>
      </c>
      <c r="G50" s="2" t="s">
        <v>24</v>
      </c>
      <c r="H50" s="3" t="n">
        <v>8000</v>
      </c>
      <c r="I50" s="2" t="n">
        <v>7</v>
      </c>
      <c r="J50" s="3" t="n">
        <v>59360</v>
      </c>
      <c r="K50" s="3" t="n">
        <v>58800</v>
      </c>
      <c r="L50" s="4" t="n">
        <v>1.00952380952381</v>
      </c>
      <c r="M50" s="2" t="s">
        <v>20</v>
      </c>
      <c r="N50" s="2" t="s">
        <v>65</v>
      </c>
    </row>
    <row r="51" customFormat="false" ht="15" hidden="false" customHeight="false" outlineLevel="0" collapsed="false">
      <c r="A51" s="5" t="n">
        <v>1050</v>
      </c>
      <c r="B51" s="5" t="s">
        <v>74</v>
      </c>
      <c r="C51" s="5" t="s">
        <v>46</v>
      </c>
      <c r="D51" s="5" t="s">
        <v>30</v>
      </c>
      <c r="E51" s="5" t="s">
        <v>40</v>
      </c>
      <c r="F51" s="5" t="s">
        <v>26</v>
      </c>
      <c r="G51" s="5" t="s">
        <v>27</v>
      </c>
      <c r="H51" s="6" t="n">
        <v>15000</v>
      </c>
      <c r="I51" s="5" t="n">
        <v>8</v>
      </c>
      <c r="J51" s="6" t="n">
        <v>108000</v>
      </c>
      <c r="K51" s="6" t="n">
        <v>115200</v>
      </c>
      <c r="L51" s="7" t="n">
        <v>0.9375</v>
      </c>
      <c r="M51" s="5" t="s">
        <v>20</v>
      </c>
      <c r="N51" s="5" t="s">
        <v>65</v>
      </c>
    </row>
    <row r="52" customFormat="false" ht="15" hidden="false" customHeight="false" outlineLevel="0" collapsed="false">
      <c r="A52" s="2" t="n">
        <v>1051</v>
      </c>
      <c r="B52" s="2" t="s">
        <v>74</v>
      </c>
      <c r="C52" s="2" t="s">
        <v>47</v>
      </c>
      <c r="D52" s="2" t="s">
        <v>35</v>
      </c>
      <c r="E52" s="2" t="s">
        <v>17</v>
      </c>
      <c r="F52" s="2" t="s">
        <v>23</v>
      </c>
      <c r="G52" s="2" t="s">
        <v>24</v>
      </c>
      <c r="H52" s="3" t="n">
        <v>20000</v>
      </c>
      <c r="I52" s="2" t="n">
        <v>9</v>
      </c>
      <c r="J52" s="3" t="n">
        <v>156600</v>
      </c>
      <c r="K52" s="3" t="n">
        <v>172800</v>
      </c>
      <c r="L52" s="4" t="n">
        <v>0.90625</v>
      </c>
      <c r="M52" s="2" t="s">
        <v>20</v>
      </c>
      <c r="N52" s="2" t="s">
        <v>65</v>
      </c>
    </row>
    <row r="53" customFormat="false" ht="15" hidden="false" customHeight="false" outlineLevel="0" collapsed="false">
      <c r="A53" s="5" t="n">
        <v>1052</v>
      </c>
      <c r="B53" s="5" t="s">
        <v>73</v>
      </c>
      <c r="C53" s="5" t="s">
        <v>47</v>
      </c>
      <c r="D53" s="5" t="s">
        <v>35</v>
      </c>
      <c r="E53" s="5" t="s">
        <v>17</v>
      </c>
      <c r="F53" s="5" t="s">
        <v>26</v>
      </c>
      <c r="G53" s="5" t="s">
        <v>27</v>
      </c>
      <c r="H53" s="6" t="n">
        <v>15000</v>
      </c>
      <c r="I53" s="5" t="n">
        <v>8</v>
      </c>
      <c r="J53" s="6" t="n">
        <v>120000</v>
      </c>
      <c r="K53" s="6" t="n">
        <v>128400</v>
      </c>
      <c r="L53" s="7" t="n">
        <v>0.934579439252336</v>
      </c>
      <c r="M53" s="5" t="s">
        <v>20</v>
      </c>
      <c r="N53" s="5" t="s">
        <v>65</v>
      </c>
    </row>
    <row r="54" customFormat="false" ht="15" hidden="false" customHeight="false" outlineLevel="0" collapsed="false">
      <c r="A54" s="2" t="n">
        <v>1053</v>
      </c>
      <c r="B54" s="2" t="s">
        <v>75</v>
      </c>
      <c r="C54" s="2" t="s">
        <v>47</v>
      </c>
      <c r="D54" s="2" t="s">
        <v>35</v>
      </c>
      <c r="E54" s="2" t="s">
        <v>17</v>
      </c>
      <c r="F54" s="2" t="s">
        <v>18</v>
      </c>
      <c r="G54" s="2" t="s">
        <v>19</v>
      </c>
      <c r="H54" s="3" t="n">
        <v>12000</v>
      </c>
      <c r="I54" s="2" t="n">
        <v>9</v>
      </c>
      <c r="J54" s="3" t="n">
        <v>93960</v>
      </c>
      <c r="K54" s="3" t="n">
        <v>101520</v>
      </c>
      <c r="L54" s="4" t="n">
        <v>0.925531914893617</v>
      </c>
      <c r="M54" s="2" t="s">
        <v>20</v>
      </c>
      <c r="N54" s="2" t="s">
        <v>65</v>
      </c>
    </row>
    <row r="55" customFormat="false" ht="15" hidden="false" customHeight="false" outlineLevel="0" collapsed="false">
      <c r="A55" s="5" t="n">
        <v>1054</v>
      </c>
      <c r="B55" s="5" t="s">
        <v>66</v>
      </c>
      <c r="C55" s="5" t="s">
        <v>49</v>
      </c>
      <c r="D55" s="5" t="s">
        <v>39</v>
      </c>
      <c r="E55" s="5" t="s">
        <v>31</v>
      </c>
      <c r="F55" s="5" t="s">
        <v>23</v>
      </c>
      <c r="G55" s="5" t="s">
        <v>24</v>
      </c>
      <c r="H55" s="6" t="n">
        <v>20000</v>
      </c>
      <c r="I55" s="5" t="n">
        <v>4</v>
      </c>
      <c r="J55" s="6" t="n">
        <v>77600</v>
      </c>
      <c r="K55" s="6" t="n">
        <v>87200</v>
      </c>
      <c r="L55" s="7" t="n">
        <v>0.889908256880734</v>
      </c>
      <c r="M55" s="5" t="s">
        <v>20</v>
      </c>
      <c r="N55" s="5" t="s">
        <v>65</v>
      </c>
    </row>
    <row r="56" customFormat="false" ht="15" hidden="false" customHeight="false" outlineLevel="0" collapsed="false">
      <c r="A56" s="2" t="n">
        <v>1055</v>
      </c>
      <c r="B56" s="2" t="s">
        <v>76</v>
      </c>
      <c r="C56" s="2" t="s">
        <v>50</v>
      </c>
      <c r="D56" s="2" t="s">
        <v>16</v>
      </c>
      <c r="E56" s="2" t="s">
        <v>40</v>
      </c>
      <c r="F56" s="2" t="s">
        <v>26</v>
      </c>
      <c r="G56" s="2" t="s">
        <v>27</v>
      </c>
      <c r="H56" s="3" t="n">
        <v>15000</v>
      </c>
      <c r="I56" s="2" t="n">
        <v>10</v>
      </c>
      <c r="J56" s="3" t="n">
        <v>129000</v>
      </c>
      <c r="K56" s="3" t="n">
        <v>138000</v>
      </c>
      <c r="L56" s="4" t="n">
        <v>0.934782608695652</v>
      </c>
      <c r="M56" s="2" t="s">
        <v>20</v>
      </c>
      <c r="N56" s="2" t="s">
        <v>65</v>
      </c>
    </row>
    <row r="57" customFormat="false" ht="15" hidden="false" customHeight="false" outlineLevel="0" collapsed="false">
      <c r="A57" s="5" t="n">
        <v>1056</v>
      </c>
      <c r="B57" s="5" t="s">
        <v>76</v>
      </c>
      <c r="C57" s="5" t="s">
        <v>51</v>
      </c>
      <c r="D57" s="5" t="s">
        <v>30</v>
      </c>
      <c r="E57" s="5" t="s">
        <v>17</v>
      </c>
      <c r="F57" s="5" t="s">
        <v>26</v>
      </c>
      <c r="G57" s="5" t="s">
        <v>27</v>
      </c>
      <c r="H57" s="6" t="n">
        <v>15000</v>
      </c>
      <c r="I57" s="5" t="n">
        <v>9</v>
      </c>
      <c r="J57" s="6" t="n">
        <v>126900</v>
      </c>
      <c r="K57" s="6" t="n">
        <v>128250</v>
      </c>
      <c r="L57" s="7" t="n">
        <v>0.989473684210526</v>
      </c>
      <c r="M57" s="5" t="s">
        <v>20</v>
      </c>
      <c r="N57" s="5" t="s">
        <v>65</v>
      </c>
    </row>
    <row r="58" customFormat="false" ht="15" hidden="false" customHeight="false" outlineLevel="0" collapsed="false">
      <c r="A58" s="2" t="n">
        <v>1057</v>
      </c>
      <c r="B58" s="2" t="s">
        <v>76</v>
      </c>
      <c r="C58" s="2" t="s">
        <v>51</v>
      </c>
      <c r="D58" s="2" t="s">
        <v>30</v>
      </c>
      <c r="E58" s="2" t="s">
        <v>17</v>
      </c>
      <c r="F58" s="2" t="s">
        <v>23</v>
      </c>
      <c r="G58" s="2" t="s">
        <v>24</v>
      </c>
      <c r="H58" s="3" t="n">
        <v>20000</v>
      </c>
      <c r="I58" s="2" t="n">
        <v>6</v>
      </c>
      <c r="J58" s="3" t="n">
        <v>110400</v>
      </c>
      <c r="K58" s="3" t="n">
        <v>117600</v>
      </c>
      <c r="L58" s="4" t="n">
        <v>0.938775510204082</v>
      </c>
      <c r="M58" s="2" t="s">
        <v>20</v>
      </c>
      <c r="N58" s="2" t="s">
        <v>65</v>
      </c>
    </row>
    <row r="59" customFormat="false" ht="15" hidden="false" customHeight="false" outlineLevel="0" collapsed="false">
      <c r="A59" s="5" t="n">
        <v>1058</v>
      </c>
      <c r="B59" s="5" t="s">
        <v>71</v>
      </c>
      <c r="C59" s="5" t="s">
        <v>51</v>
      </c>
      <c r="D59" s="5" t="s">
        <v>30</v>
      </c>
      <c r="E59" s="5" t="s">
        <v>17</v>
      </c>
      <c r="F59" s="5" t="s">
        <v>23</v>
      </c>
      <c r="G59" s="5" t="s">
        <v>24</v>
      </c>
      <c r="H59" s="6" t="n">
        <v>20000</v>
      </c>
      <c r="I59" s="5" t="n">
        <v>5</v>
      </c>
      <c r="J59" s="6" t="n">
        <v>99000</v>
      </c>
      <c r="K59" s="6" t="n">
        <v>109000</v>
      </c>
      <c r="L59" s="7" t="n">
        <v>0.908256880733945</v>
      </c>
      <c r="M59" s="5" t="s">
        <v>20</v>
      </c>
      <c r="N59" s="5" t="s">
        <v>65</v>
      </c>
    </row>
    <row r="60" customFormat="false" ht="15" hidden="false" customHeight="false" outlineLevel="0" collapsed="false">
      <c r="A60" s="2" t="n">
        <v>1059</v>
      </c>
      <c r="B60" s="2" t="s">
        <v>77</v>
      </c>
      <c r="C60" s="2" t="s">
        <v>15</v>
      </c>
      <c r="D60" s="2" t="s">
        <v>16</v>
      </c>
      <c r="E60" s="2" t="s">
        <v>17</v>
      </c>
      <c r="F60" s="2" t="s">
        <v>56</v>
      </c>
      <c r="G60" s="2" t="s">
        <v>57</v>
      </c>
      <c r="H60" s="3" t="n">
        <v>25000</v>
      </c>
      <c r="I60" s="2" t="n">
        <v>10</v>
      </c>
      <c r="J60" s="3" t="n">
        <v>287500</v>
      </c>
      <c r="K60" s="3" t="n">
        <v>275000</v>
      </c>
      <c r="L60" s="4" t="n">
        <v>1.04545454545455</v>
      </c>
      <c r="M60" s="2" t="s">
        <v>78</v>
      </c>
      <c r="N60" s="2" t="s">
        <v>79</v>
      </c>
    </row>
    <row r="61" customFormat="false" ht="15" hidden="false" customHeight="false" outlineLevel="0" collapsed="false">
      <c r="A61" s="5" t="n">
        <v>1060</v>
      </c>
      <c r="B61" s="5" t="s">
        <v>77</v>
      </c>
      <c r="C61" s="5" t="s">
        <v>29</v>
      </c>
      <c r="D61" s="5" t="s">
        <v>30</v>
      </c>
      <c r="E61" s="5" t="s">
        <v>31</v>
      </c>
      <c r="F61" s="5" t="s">
        <v>44</v>
      </c>
      <c r="G61" s="5" t="s">
        <v>19</v>
      </c>
      <c r="H61" s="6" t="n">
        <v>18000</v>
      </c>
      <c r="I61" s="5" t="n">
        <v>9</v>
      </c>
      <c r="J61" s="6" t="n">
        <v>150660</v>
      </c>
      <c r="K61" s="6" t="n">
        <v>176580</v>
      </c>
      <c r="L61" s="7" t="n">
        <v>0.853211009174312</v>
      </c>
      <c r="M61" s="5" t="s">
        <v>78</v>
      </c>
      <c r="N61" s="5" t="s">
        <v>79</v>
      </c>
    </row>
    <row r="62" customFormat="false" ht="15" hidden="false" customHeight="false" outlineLevel="0" collapsed="false">
      <c r="A62" s="2" t="n">
        <v>1061</v>
      </c>
      <c r="B62" s="2" t="s">
        <v>80</v>
      </c>
      <c r="C62" s="2" t="s">
        <v>29</v>
      </c>
      <c r="D62" s="2" t="s">
        <v>30</v>
      </c>
      <c r="E62" s="2" t="s">
        <v>31</v>
      </c>
      <c r="F62" s="2" t="s">
        <v>44</v>
      </c>
      <c r="G62" s="2" t="s">
        <v>19</v>
      </c>
      <c r="H62" s="3" t="n">
        <v>18000</v>
      </c>
      <c r="I62" s="2" t="n">
        <v>6</v>
      </c>
      <c r="J62" s="3" t="n">
        <v>101520</v>
      </c>
      <c r="K62" s="3" t="n">
        <v>106920</v>
      </c>
      <c r="L62" s="4" t="n">
        <v>0.94949494949495</v>
      </c>
      <c r="M62" s="2" t="s">
        <v>78</v>
      </c>
      <c r="N62" s="2" t="s">
        <v>79</v>
      </c>
    </row>
    <row r="63" customFormat="false" ht="15" hidden="false" customHeight="false" outlineLevel="0" collapsed="false">
      <c r="A63" s="5" t="n">
        <v>1062</v>
      </c>
      <c r="B63" s="5" t="s">
        <v>81</v>
      </c>
      <c r="C63" s="5" t="s">
        <v>29</v>
      </c>
      <c r="D63" s="5" t="s">
        <v>30</v>
      </c>
      <c r="E63" s="5" t="s">
        <v>31</v>
      </c>
      <c r="F63" s="5" t="s">
        <v>23</v>
      </c>
      <c r="G63" s="5" t="s">
        <v>24</v>
      </c>
      <c r="H63" s="6" t="n">
        <v>20000</v>
      </c>
      <c r="I63" s="5" t="n">
        <v>5</v>
      </c>
      <c r="J63" s="6" t="n">
        <v>103000</v>
      </c>
      <c r="K63" s="6" t="n">
        <v>110000</v>
      </c>
      <c r="L63" s="7" t="n">
        <v>0.936363636363636</v>
      </c>
      <c r="M63" s="5" t="s">
        <v>78</v>
      </c>
      <c r="N63" s="5" t="s">
        <v>79</v>
      </c>
    </row>
    <row r="64" customFormat="false" ht="15" hidden="false" customHeight="false" outlineLevel="0" collapsed="false">
      <c r="A64" s="2" t="n">
        <v>1063</v>
      </c>
      <c r="B64" s="2" t="s">
        <v>82</v>
      </c>
      <c r="C64" s="2" t="s">
        <v>34</v>
      </c>
      <c r="D64" s="2" t="s">
        <v>35</v>
      </c>
      <c r="E64" s="2" t="s">
        <v>17</v>
      </c>
      <c r="F64" s="2" t="s">
        <v>18</v>
      </c>
      <c r="G64" s="2" t="s">
        <v>19</v>
      </c>
      <c r="H64" s="3" t="n">
        <v>12000</v>
      </c>
      <c r="I64" s="2" t="n">
        <v>9</v>
      </c>
      <c r="J64" s="3" t="n">
        <v>101520</v>
      </c>
      <c r="K64" s="3" t="n">
        <v>111240</v>
      </c>
      <c r="L64" s="4" t="n">
        <v>0.912621359223301</v>
      </c>
      <c r="M64" s="2" t="s">
        <v>78</v>
      </c>
      <c r="N64" s="2" t="s">
        <v>79</v>
      </c>
    </row>
    <row r="65" customFormat="false" ht="15" hidden="false" customHeight="false" outlineLevel="0" collapsed="false">
      <c r="A65" s="5" t="n">
        <v>1064</v>
      </c>
      <c r="B65" s="5" t="s">
        <v>82</v>
      </c>
      <c r="C65" s="5" t="s">
        <v>34</v>
      </c>
      <c r="D65" s="5" t="s">
        <v>35</v>
      </c>
      <c r="E65" s="5" t="s">
        <v>17</v>
      </c>
      <c r="F65" s="5" t="s">
        <v>36</v>
      </c>
      <c r="G65" s="5" t="s">
        <v>24</v>
      </c>
      <c r="H65" s="6" t="n">
        <v>8000</v>
      </c>
      <c r="I65" s="5" t="n">
        <v>2</v>
      </c>
      <c r="J65" s="6" t="n">
        <v>17920</v>
      </c>
      <c r="K65" s="6" t="n">
        <v>16800</v>
      </c>
      <c r="L65" s="7" t="n">
        <v>1.06666666666667</v>
      </c>
      <c r="M65" s="5" t="s">
        <v>78</v>
      </c>
      <c r="N65" s="5" t="s">
        <v>79</v>
      </c>
    </row>
    <row r="66" customFormat="false" ht="15" hidden="false" customHeight="false" outlineLevel="0" collapsed="false">
      <c r="A66" s="2" t="n">
        <v>1065</v>
      </c>
      <c r="B66" s="2" t="s">
        <v>83</v>
      </c>
      <c r="C66" s="2" t="s">
        <v>34</v>
      </c>
      <c r="D66" s="2" t="s">
        <v>35</v>
      </c>
      <c r="E66" s="2" t="s">
        <v>17</v>
      </c>
      <c r="F66" s="2" t="s">
        <v>36</v>
      </c>
      <c r="G66" s="2" t="s">
        <v>24</v>
      </c>
      <c r="H66" s="3" t="n">
        <v>8000</v>
      </c>
      <c r="I66" s="2" t="n">
        <v>5</v>
      </c>
      <c r="J66" s="3" t="n">
        <v>41200</v>
      </c>
      <c r="K66" s="3" t="n">
        <v>41600</v>
      </c>
      <c r="L66" s="4" t="n">
        <v>0.990384615384615</v>
      </c>
      <c r="M66" s="2" t="s">
        <v>78</v>
      </c>
      <c r="N66" s="2" t="s">
        <v>79</v>
      </c>
    </row>
    <row r="67" customFormat="false" ht="15" hidden="false" customHeight="false" outlineLevel="0" collapsed="false">
      <c r="A67" s="5" t="n">
        <v>1066</v>
      </c>
      <c r="B67" s="5" t="s">
        <v>84</v>
      </c>
      <c r="C67" s="5" t="s">
        <v>38</v>
      </c>
      <c r="D67" s="5" t="s">
        <v>39</v>
      </c>
      <c r="E67" s="5" t="s">
        <v>40</v>
      </c>
      <c r="F67" s="5" t="s">
        <v>23</v>
      </c>
      <c r="G67" s="5" t="s">
        <v>24</v>
      </c>
      <c r="H67" s="6" t="n">
        <v>20000</v>
      </c>
      <c r="I67" s="5" t="n">
        <v>5</v>
      </c>
      <c r="J67" s="6" t="n">
        <v>100000</v>
      </c>
      <c r="K67" s="6" t="n">
        <v>95000</v>
      </c>
      <c r="L67" s="7" t="n">
        <v>1.05263157894737</v>
      </c>
      <c r="M67" s="5" t="s">
        <v>78</v>
      </c>
      <c r="N67" s="5" t="s">
        <v>79</v>
      </c>
    </row>
    <row r="68" customFormat="false" ht="15" hidden="false" customHeight="false" outlineLevel="0" collapsed="false">
      <c r="A68" s="2" t="n">
        <v>1067</v>
      </c>
      <c r="B68" s="2" t="s">
        <v>85</v>
      </c>
      <c r="C68" s="2" t="s">
        <v>38</v>
      </c>
      <c r="D68" s="2" t="s">
        <v>39</v>
      </c>
      <c r="E68" s="2" t="s">
        <v>40</v>
      </c>
      <c r="F68" s="2" t="s">
        <v>18</v>
      </c>
      <c r="G68" s="2" t="s">
        <v>19</v>
      </c>
      <c r="H68" s="3" t="n">
        <v>12000</v>
      </c>
      <c r="I68" s="2" t="n">
        <v>2</v>
      </c>
      <c r="J68" s="3" t="n">
        <v>24960</v>
      </c>
      <c r="K68" s="3" t="n">
        <v>25680</v>
      </c>
      <c r="L68" s="4" t="n">
        <v>0.97196261682243</v>
      </c>
      <c r="M68" s="2" t="s">
        <v>78</v>
      </c>
      <c r="N68" s="2" t="s">
        <v>79</v>
      </c>
    </row>
    <row r="69" customFormat="false" ht="15" hidden="false" customHeight="false" outlineLevel="0" collapsed="false">
      <c r="A69" s="5" t="n">
        <v>1068</v>
      </c>
      <c r="B69" s="5" t="s">
        <v>86</v>
      </c>
      <c r="C69" s="5" t="s">
        <v>38</v>
      </c>
      <c r="D69" s="5" t="s">
        <v>39</v>
      </c>
      <c r="E69" s="5" t="s">
        <v>40</v>
      </c>
      <c r="F69" s="5" t="s">
        <v>18</v>
      </c>
      <c r="G69" s="5" t="s">
        <v>19</v>
      </c>
      <c r="H69" s="6" t="n">
        <v>12000</v>
      </c>
      <c r="I69" s="5" t="n">
        <v>6</v>
      </c>
      <c r="J69" s="6" t="n">
        <v>77760</v>
      </c>
      <c r="K69" s="6" t="n">
        <v>74160</v>
      </c>
      <c r="L69" s="7" t="n">
        <v>1.04854368932039</v>
      </c>
      <c r="M69" s="5" t="s">
        <v>78</v>
      </c>
      <c r="N69" s="5" t="s">
        <v>79</v>
      </c>
    </row>
    <row r="70" customFormat="false" ht="15" hidden="false" customHeight="false" outlineLevel="0" collapsed="false">
      <c r="A70" s="2" t="n">
        <v>1069</v>
      </c>
      <c r="B70" s="2" t="s">
        <v>87</v>
      </c>
      <c r="C70" s="2" t="s">
        <v>43</v>
      </c>
      <c r="D70" s="2" t="s">
        <v>16</v>
      </c>
      <c r="E70" s="2" t="s">
        <v>31</v>
      </c>
      <c r="F70" s="2" t="s">
        <v>23</v>
      </c>
      <c r="G70" s="2" t="s">
        <v>24</v>
      </c>
      <c r="H70" s="3" t="n">
        <v>20000</v>
      </c>
      <c r="I70" s="2" t="n">
        <v>8</v>
      </c>
      <c r="J70" s="3" t="n">
        <v>163200</v>
      </c>
      <c r="K70" s="3" t="n">
        <v>158400</v>
      </c>
      <c r="L70" s="4" t="n">
        <v>1.03030303030303</v>
      </c>
      <c r="M70" s="2" t="s">
        <v>78</v>
      </c>
      <c r="N70" s="2" t="s">
        <v>79</v>
      </c>
    </row>
    <row r="71" customFormat="false" ht="15" hidden="false" customHeight="false" outlineLevel="0" collapsed="false">
      <c r="A71" s="5" t="n">
        <v>1070</v>
      </c>
      <c r="B71" s="5" t="s">
        <v>88</v>
      </c>
      <c r="C71" s="5" t="s">
        <v>46</v>
      </c>
      <c r="D71" s="5" t="s">
        <v>30</v>
      </c>
      <c r="E71" s="5" t="s">
        <v>40</v>
      </c>
      <c r="F71" s="5" t="s">
        <v>18</v>
      </c>
      <c r="G71" s="5" t="s">
        <v>19</v>
      </c>
      <c r="H71" s="6" t="n">
        <v>12000</v>
      </c>
      <c r="I71" s="5" t="n">
        <v>3</v>
      </c>
      <c r="J71" s="6" t="n">
        <v>36360</v>
      </c>
      <c r="K71" s="6" t="n">
        <v>38520</v>
      </c>
      <c r="L71" s="7" t="n">
        <v>0.94392523364486</v>
      </c>
      <c r="M71" s="5" t="s">
        <v>78</v>
      </c>
      <c r="N71" s="5" t="s">
        <v>79</v>
      </c>
    </row>
    <row r="72" customFormat="false" ht="15" hidden="false" customHeight="false" outlineLevel="0" collapsed="false">
      <c r="A72" s="2" t="n">
        <v>1071</v>
      </c>
      <c r="B72" s="2" t="s">
        <v>89</v>
      </c>
      <c r="C72" s="2" t="s">
        <v>47</v>
      </c>
      <c r="D72" s="2" t="s">
        <v>35</v>
      </c>
      <c r="E72" s="2" t="s">
        <v>17</v>
      </c>
      <c r="F72" s="2" t="s">
        <v>44</v>
      </c>
      <c r="G72" s="2" t="s">
        <v>19</v>
      </c>
      <c r="H72" s="3" t="n">
        <v>18000</v>
      </c>
      <c r="I72" s="2" t="n">
        <v>7</v>
      </c>
      <c r="J72" s="3" t="n">
        <v>112140</v>
      </c>
      <c r="K72" s="3" t="n">
        <v>120960</v>
      </c>
      <c r="L72" s="4" t="n">
        <v>0.927083333333333</v>
      </c>
      <c r="M72" s="2" t="s">
        <v>78</v>
      </c>
      <c r="N72" s="2" t="s">
        <v>79</v>
      </c>
    </row>
    <row r="73" customFormat="false" ht="15" hidden="false" customHeight="false" outlineLevel="0" collapsed="false">
      <c r="A73" s="5" t="n">
        <v>1072</v>
      </c>
      <c r="B73" s="5" t="s">
        <v>90</v>
      </c>
      <c r="C73" s="5" t="s">
        <v>47</v>
      </c>
      <c r="D73" s="5" t="s">
        <v>35</v>
      </c>
      <c r="E73" s="5" t="s">
        <v>17</v>
      </c>
      <c r="F73" s="5" t="s">
        <v>18</v>
      </c>
      <c r="G73" s="5" t="s">
        <v>19</v>
      </c>
      <c r="H73" s="6" t="n">
        <v>12000</v>
      </c>
      <c r="I73" s="5" t="n">
        <v>6</v>
      </c>
      <c r="J73" s="6" t="n">
        <v>65520</v>
      </c>
      <c r="K73" s="6" t="n">
        <v>68400</v>
      </c>
      <c r="L73" s="7" t="n">
        <v>0.957894736842105</v>
      </c>
      <c r="M73" s="5" t="s">
        <v>78</v>
      </c>
      <c r="N73" s="5" t="s">
        <v>79</v>
      </c>
    </row>
    <row r="74" customFormat="false" ht="15" hidden="false" customHeight="false" outlineLevel="0" collapsed="false">
      <c r="A74" s="2" t="n">
        <v>1073</v>
      </c>
      <c r="B74" s="2" t="s">
        <v>91</v>
      </c>
      <c r="C74" s="2" t="s">
        <v>47</v>
      </c>
      <c r="D74" s="2" t="s">
        <v>35</v>
      </c>
      <c r="E74" s="2" t="s">
        <v>17</v>
      </c>
      <c r="F74" s="2" t="s">
        <v>36</v>
      </c>
      <c r="G74" s="2" t="s">
        <v>24</v>
      </c>
      <c r="H74" s="3" t="n">
        <v>8000</v>
      </c>
      <c r="I74" s="2" t="n">
        <v>9</v>
      </c>
      <c r="J74" s="3" t="n">
        <v>80640</v>
      </c>
      <c r="K74" s="3" t="n">
        <v>70560</v>
      </c>
      <c r="L74" s="4" t="n">
        <v>1.14285714285714</v>
      </c>
      <c r="M74" s="2" t="s">
        <v>78</v>
      </c>
      <c r="N74" s="2" t="s">
        <v>79</v>
      </c>
    </row>
    <row r="75" customFormat="false" ht="15" hidden="false" customHeight="false" outlineLevel="0" collapsed="false">
      <c r="A75" s="5" t="n">
        <v>1074</v>
      </c>
      <c r="B75" s="5" t="s">
        <v>89</v>
      </c>
      <c r="C75" s="5" t="s">
        <v>49</v>
      </c>
      <c r="D75" s="5" t="s">
        <v>39</v>
      </c>
      <c r="E75" s="5" t="s">
        <v>31</v>
      </c>
      <c r="F75" s="5" t="s">
        <v>44</v>
      </c>
      <c r="G75" s="5" t="s">
        <v>19</v>
      </c>
      <c r="H75" s="6" t="n">
        <v>18000</v>
      </c>
      <c r="I75" s="5" t="n">
        <v>4</v>
      </c>
      <c r="J75" s="6" t="n">
        <v>79920</v>
      </c>
      <c r="K75" s="6" t="n">
        <v>79200</v>
      </c>
      <c r="L75" s="7" t="n">
        <v>1.00909090909091</v>
      </c>
      <c r="M75" s="5" t="s">
        <v>78</v>
      </c>
      <c r="N75" s="5" t="s">
        <v>79</v>
      </c>
    </row>
    <row r="76" customFormat="false" ht="15" hidden="false" customHeight="false" outlineLevel="0" collapsed="false">
      <c r="A76" s="2" t="n">
        <v>1075</v>
      </c>
      <c r="B76" s="2" t="s">
        <v>92</v>
      </c>
      <c r="C76" s="2" t="s">
        <v>49</v>
      </c>
      <c r="D76" s="2" t="s">
        <v>39</v>
      </c>
      <c r="E76" s="2" t="s">
        <v>31</v>
      </c>
      <c r="F76" s="2" t="s">
        <v>44</v>
      </c>
      <c r="G76" s="2" t="s">
        <v>19</v>
      </c>
      <c r="H76" s="3" t="n">
        <v>18000</v>
      </c>
      <c r="I76" s="2" t="n">
        <v>7</v>
      </c>
      <c r="J76" s="3" t="n">
        <v>108360</v>
      </c>
      <c r="K76" s="3" t="n">
        <v>132300</v>
      </c>
      <c r="L76" s="4" t="n">
        <v>0.819047619047619</v>
      </c>
      <c r="M76" s="2" t="s">
        <v>78</v>
      </c>
      <c r="N76" s="2" t="s">
        <v>79</v>
      </c>
    </row>
    <row r="77" customFormat="false" ht="15" hidden="false" customHeight="false" outlineLevel="0" collapsed="false">
      <c r="A77" s="5" t="n">
        <v>1076</v>
      </c>
      <c r="B77" s="5" t="s">
        <v>90</v>
      </c>
      <c r="C77" s="5" t="s">
        <v>49</v>
      </c>
      <c r="D77" s="5" t="s">
        <v>39</v>
      </c>
      <c r="E77" s="5" t="s">
        <v>31</v>
      </c>
      <c r="F77" s="5" t="s">
        <v>56</v>
      </c>
      <c r="G77" s="5" t="s">
        <v>57</v>
      </c>
      <c r="H77" s="6" t="n">
        <v>25000</v>
      </c>
      <c r="I77" s="5" t="n">
        <v>4</v>
      </c>
      <c r="J77" s="6" t="n">
        <v>93000</v>
      </c>
      <c r="K77" s="6" t="n">
        <v>106000</v>
      </c>
      <c r="L77" s="7" t="n">
        <v>0.877358490566038</v>
      </c>
      <c r="M77" s="5" t="s">
        <v>78</v>
      </c>
      <c r="N77" s="5" t="s">
        <v>79</v>
      </c>
    </row>
    <row r="78" customFormat="false" ht="15" hidden="false" customHeight="false" outlineLevel="0" collapsed="false">
      <c r="A78" s="2" t="n">
        <v>1077</v>
      </c>
      <c r="B78" s="2" t="s">
        <v>93</v>
      </c>
      <c r="C78" s="2" t="s">
        <v>50</v>
      </c>
      <c r="D78" s="2" t="s">
        <v>16</v>
      </c>
      <c r="E78" s="2" t="s">
        <v>40</v>
      </c>
      <c r="F78" s="2" t="s">
        <v>18</v>
      </c>
      <c r="G78" s="2" t="s">
        <v>19</v>
      </c>
      <c r="H78" s="3" t="n">
        <v>12000</v>
      </c>
      <c r="I78" s="2" t="n">
        <v>8</v>
      </c>
      <c r="J78" s="3" t="n">
        <v>88320</v>
      </c>
      <c r="K78" s="3" t="n">
        <v>101760</v>
      </c>
      <c r="L78" s="4" t="n">
        <v>0.867924528301887</v>
      </c>
      <c r="M78" s="2" t="s">
        <v>78</v>
      </c>
      <c r="N78" s="2" t="s">
        <v>79</v>
      </c>
    </row>
    <row r="79" customFormat="false" ht="15" hidden="false" customHeight="false" outlineLevel="0" collapsed="false">
      <c r="A79" s="5" t="n">
        <v>1078</v>
      </c>
      <c r="B79" s="5" t="s">
        <v>94</v>
      </c>
      <c r="C79" s="5" t="s">
        <v>50</v>
      </c>
      <c r="D79" s="5" t="s">
        <v>16</v>
      </c>
      <c r="E79" s="5" t="s">
        <v>40</v>
      </c>
      <c r="F79" s="5" t="s">
        <v>36</v>
      </c>
      <c r="G79" s="5" t="s">
        <v>24</v>
      </c>
      <c r="H79" s="6" t="n">
        <v>8000</v>
      </c>
      <c r="I79" s="5" t="n">
        <v>5</v>
      </c>
      <c r="J79" s="6" t="n">
        <v>44000</v>
      </c>
      <c r="K79" s="6" t="n">
        <v>42800</v>
      </c>
      <c r="L79" s="7" t="n">
        <v>1.02803738317757</v>
      </c>
      <c r="M79" s="5" t="s">
        <v>78</v>
      </c>
      <c r="N79" s="5" t="s">
        <v>79</v>
      </c>
    </row>
    <row r="80" customFormat="false" ht="15" hidden="false" customHeight="false" outlineLevel="0" collapsed="false">
      <c r="A80" s="2" t="n">
        <v>1079</v>
      </c>
      <c r="B80" s="2" t="s">
        <v>77</v>
      </c>
      <c r="C80" s="2" t="s">
        <v>51</v>
      </c>
      <c r="D80" s="2" t="s">
        <v>30</v>
      </c>
      <c r="E80" s="2" t="s">
        <v>17</v>
      </c>
      <c r="F80" s="2" t="s">
        <v>23</v>
      </c>
      <c r="G80" s="2" t="s">
        <v>24</v>
      </c>
      <c r="H80" s="3" t="n">
        <v>20000</v>
      </c>
      <c r="I80" s="2" t="n">
        <v>4</v>
      </c>
      <c r="J80" s="3" t="n">
        <v>77600</v>
      </c>
      <c r="K80" s="3" t="n">
        <v>76800</v>
      </c>
      <c r="L80" s="4" t="n">
        <v>1.01041666666667</v>
      </c>
      <c r="M80" s="2" t="s">
        <v>78</v>
      </c>
      <c r="N80" s="2" t="s">
        <v>79</v>
      </c>
    </row>
    <row r="81" customFormat="false" ht="15" hidden="false" customHeight="false" outlineLevel="0" collapsed="false">
      <c r="A81" s="5" t="n">
        <v>1080</v>
      </c>
      <c r="B81" s="5" t="s">
        <v>95</v>
      </c>
      <c r="C81" s="5" t="s">
        <v>15</v>
      </c>
      <c r="D81" s="5" t="s">
        <v>16</v>
      </c>
      <c r="E81" s="5" t="s">
        <v>17</v>
      </c>
      <c r="F81" s="5" t="s">
        <v>36</v>
      </c>
      <c r="G81" s="5" t="s">
        <v>24</v>
      </c>
      <c r="H81" s="6" t="n">
        <v>8000</v>
      </c>
      <c r="I81" s="5" t="n">
        <v>9</v>
      </c>
      <c r="J81" s="6" t="n">
        <v>69840</v>
      </c>
      <c r="K81" s="6" t="n">
        <v>79200</v>
      </c>
      <c r="L81" s="7" t="n">
        <v>0.881818181818182</v>
      </c>
      <c r="M81" s="5" t="s">
        <v>78</v>
      </c>
      <c r="N81" s="5" t="s">
        <v>96</v>
      </c>
    </row>
    <row r="82" customFormat="false" ht="15" hidden="false" customHeight="false" outlineLevel="0" collapsed="false">
      <c r="A82" s="2" t="n">
        <v>1081</v>
      </c>
      <c r="B82" s="2" t="s">
        <v>97</v>
      </c>
      <c r="C82" s="2" t="s">
        <v>15</v>
      </c>
      <c r="D82" s="2" t="s">
        <v>16</v>
      </c>
      <c r="E82" s="2" t="s">
        <v>17</v>
      </c>
      <c r="F82" s="2" t="s">
        <v>36</v>
      </c>
      <c r="G82" s="2" t="s">
        <v>24</v>
      </c>
      <c r="H82" s="3" t="n">
        <v>8000</v>
      </c>
      <c r="I82" s="2" t="n">
        <v>1</v>
      </c>
      <c r="J82" s="3" t="n">
        <v>7040</v>
      </c>
      <c r="K82" s="3" t="n">
        <v>8720</v>
      </c>
      <c r="L82" s="4" t="n">
        <v>0.807339449541284</v>
      </c>
      <c r="M82" s="2" t="s">
        <v>78</v>
      </c>
      <c r="N82" s="2" t="s">
        <v>96</v>
      </c>
    </row>
    <row r="83" customFormat="false" ht="15" hidden="false" customHeight="false" outlineLevel="0" collapsed="false">
      <c r="A83" s="5" t="n">
        <v>1082</v>
      </c>
      <c r="B83" s="5" t="s">
        <v>98</v>
      </c>
      <c r="C83" s="5" t="s">
        <v>29</v>
      </c>
      <c r="D83" s="5" t="s">
        <v>30</v>
      </c>
      <c r="E83" s="5" t="s">
        <v>31</v>
      </c>
      <c r="F83" s="5" t="s">
        <v>36</v>
      </c>
      <c r="G83" s="5" t="s">
        <v>24</v>
      </c>
      <c r="H83" s="6" t="n">
        <v>8000</v>
      </c>
      <c r="I83" s="5" t="n">
        <v>1</v>
      </c>
      <c r="J83" s="6" t="n">
        <v>7040</v>
      </c>
      <c r="K83" s="6" t="n">
        <v>7920</v>
      </c>
      <c r="L83" s="7" t="n">
        <v>0.888888888888889</v>
      </c>
      <c r="M83" s="5" t="s">
        <v>78</v>
      </c>
      <c r="N83" s="5" t="s">
        <v>96</v>
      </c>
    </row>
    <row r="84" customFormat="false" ht="15" hidden="false" customHeight="false" outlineLevel="0" collapsed="false">
      <c r="A84" s="2" t="n">
        <v>1083</v>
      </c>
      <c r="B84" s="2" t="s">
        <v>99</v>
      </c>
      <c r="C84" s="2" t="s">
        <v>29</v>
      </c>
      <c r="D84" s="2" t="s">
        <v>30</v>
      </c>
      <c r="E84" s="2" t="s">
        <v>31</v>
      </c>
      <c r="F84" s="2" t="s">
        <v>36</v>
      </c>
      <c r="G84" s="2" t="s">
        <v>24</v>
      </c>
      <c r="H84" s="3" t="n">
        <v>8000</v>
      </c>
      <c r="I84" s="2" t="n">
        <v>7</v>
      </c>
      <c r="J84" s="3" t="n">
        <v>57680</v>
      </c>
      <c r="K84" s="3" t="n">
        <v>56000</v>
      </c>
      <c r="L84" s="4" t="n">
        <v>1.03</v>
      </c>
      <c r="M84" s="2" t="s">
        <v>78</v>
      </c>
      <c r="N84" s="2" t="s">
        <v>96</v>
      </c>
    </row>
    <row r="85" customFormat="false" ht="15" hidden="false" customHeight="false" outlineLevel="0" collapsed="false">
      <c r="A85" s="5" t="n">
        <v>1084</v>
      </c>
      <c r="B85" s="5" t="s">
        <v>100</v>
      </c>
      <c r="C85" s="5" t="s">
        <v>29</v>
      </c>
      <c r="D85" s="5" t="s">
        <v>30</v>
      </c>
      <c r="E85" s="5" t="s">
        <v>31</v>
      </c>
      <c r="F85" s="5" t="s">
        <v>26</v>
      </c>
      <c r="G85" s="5" t="s">
        <v>27</v>
      </c>
      <c r="H85" s="6" t="n">
        <v>15000</v>
      </c>
      <c r="I85" s="5" t="n">
        <v>4</v>
      </c>
      <c r="J85" s="6" t="n">
        <v>55800</v>
      </c>
      <c r="K85" s="6" t="n">
        <v>62400</v>
      </c>
      <c r="L85" s="7" t="n">
        <v>0.894230769230769</v>
      </c>
      <c r="M85" s="5" t="s">
        <v>78</v>
      </c>
      <c r="N85" s="5" t="s">
        <v>96</v>
      </c>
    </row>
    <row r="86" customFormat="false" ht="15" hidden="false" customHeight="false" outlineLevel="0" collapsed="false">
      <c r="A86" s="2" t="n">
        <v>1085</v>
      </c>
      <c r="B86" s="2" t="s">
        <v>101</v>
      </c>
      <c r="C86" s="2" t="s">
        <v>34</v>
      </c>
      <c r="D86" s="2" t="s">
        <v>35</v>
      </c>
      <c r="E86" s="2" t="s">
        <v>17</v>
      </c>
      <c r="F86" s="2" t="s">
        <v>26</v>
      </c>
      <c r="G86" s="2" t="s">
        <v>27</v>
      </c>
      <c r="H86" s="3" t="n">
        <v>15000</v>
      </c>
      <c r="I86" s="2" t="n">
        <v>4</v>
      </c>
      <c r="J86" s="3" t="n">
        <v>57600</v>
      </c>
      <c r="K86" s="3" t="n">
        <v>54600</v>
      </c>
      <c r="L86" s="4" t="n">
        <v>1.05494505494506</v>
      </c>
      <c r="M86" s="2" t="s">
        <v>78</v>
      </c>
      <c r="N86" s="2" t="s">
        <v>96</v>
      </c>
    </row>
    <row r="87" customFormat="false" ht="15" hidden="false" customHeight="false" outlineLevel="0" collapsed="false">
      <c r="A87" s="5" t="n">
        <v>1086</v>
      </c>
      <c r="B87" s="5" t="s">
        <v>98</v>
      </c>
      <c r="C87" s="5" t="s">
        <v>34</v>
      </c>
      <c r="D87" s="5" t="s">
        <v>35</v>
      </c>
      <c r="E87" s="5" t="s">
        <v>17</v>
      </c>
      <c r="F87" s="5" t="s">
        <v>36</v>
      </c>
      <c r="G87" s="5" t="s">
        <v>24</v>
      </c>
      <c r="H87" s="6" t="n">
        <v>8000</v>
      </c>
      <c r="I87" s="5" t="n">
        <v>10</v>
      </c>
      <c r="J87" s="6" t="n">
        <v>75200</v>
      </c>
      <c r="K87" s="6" t="n">
        <v>85600</v>
      </c>
      <c r="L87" s="7" t="n">
        <v>0.878504672897196</v>
      </c>
      <c r="M87" s="5" t="s">
        <v>78</v>
      </c>
      <c r="N87" s="5" t="s">
        <v>96</v>
      </c>
    </row>
    <row r="88" customFormat="false" ht="15" hidden="false" customHeight="false" outlineLevel="0" collapsed="false">
      <c r="A88" s="2" t="n">
        <v>1087</v>
      </c>
      <c r="B88" s="2" t="s">
        <v>99</v>
      </c>
      <c r="C88" s="2" t="s">
        <v>34</v>
      </c>
      <c r="D88" s="2" t="s">
        <v>35</v>
      </c>
      <c r="E88" s="2" t="s">
        <v>17</v>
      </c>
      <c r="F88" s="2" t="s">
        <v>36</v>
      </c>
      <c r="G88" s="2" t="s">
        <v>24</v>
      </c>
      <c r="H88" s="3" t="n">
        <v>8000</v>
      </c>
      <c r="I88" s="2" t="n">
        <v>9</v>
      </c>
      <c r="J88" s="3" t="n">
        <v>67680</v>
      </c>
      <c r="K88" s="3" t="n">
        <v>70560</v>
      </c>
      <c r="L88" s="4" t="n">
        <v>0.959183673469388</v>
      </c>
      <c r="M88" s="2" t="s">
        <v>78</v>
      </c>
      <c r="N88" s="2" t="s">
        <v>96</v>
      </c>
    </row>
    <row r="89" customFormat="false" ht="15" hidden="false" customHeight="false" outlineLevel="0" collapsed="false">
      <c r="A89" s="5" t="n">
        <v>1088</v>
      </c>
      <c r="B89" s="5" t="s">
        <v>99</v>
      </c>
      <c r="C89" s="5" t="s">
        <v>38</v>
      </c>
      <c r="D89" s="5" t="s">
        <v>39</v>
      </c>
      <c r="E89" s="5" t="s">
        <v>40</v>
      </c>
      <c r="F89" s="5" t="s">
        <v>36</v>
      </c>
      <c r="G89" s="5" t="s">
        <v>24</v>
      </c>
      <c r="H89" s="6" t="n">
        <v>8000</v>
      </c>
      <c r="I89" s="5" t="n">
        <v>9</v>
      </c>
      <c r="J89" s="6" t="n">
        <v>64080</v>
      </c>
      <c r="K89" s="6" t="n">
        <v>70560</v>
      </c>
      <c r="L89" s="7" t="n">
        <v>0.908163265306123</v>
      </c>
      <c r="M89" s="5" t="s">
        <v>78</v>
      </c>
      <c r="N89" s="5" t="s">
        <v>96</v>
      </c>
    </row>
    <row r="90" customFormat="false" ht="15" hidden="false" customHeight="false" outlineLevel="0" collapsed="false">
      <c r="A90" s="2" t="n">
        <v>1089</v>
      </c>
      <c r="B90" s="2" t="s">
        <v>95</v>
      </c>
      <c r="C90" s="2" t="s">
        <v>38</v>
      </c>
      <c r="D90" s="2" t="s">
        <v>39</v>
      </c>
      <c r="E90" s="2" t="s">
        <v>40</v>
      </c>
      <c r="F90" s="2" t="s">
        <v>23</v>
      </c>
      <c r="G90" s="2" t="s">
        <v>24</v>
      </c>
      <c r="H90" s="3" t="n">
        <v>20000</v>
      </c>
      <c r="I90" s="2" t="n">
        <v>3</v>
      </c>
      <c r="J90" s="3" t="n">
        <v>61800</v>
      </c>
      <c r="K90" s="3" t="n">
        <v>57600</v>
      </c>
      <c r="L90" s="4" t="n">
        <v>1.07291666666667</v>
      </c>
      <c r="M90" s="2" t="s">
        <v>78</v>
      </c>
      <c r="N90" s="2" t="s">
        <v>96</v>
      </c>
    </row>
    <row r="91" customFormat="false" ht="15" hidden="false" customHeight="false" outlineLevel="0" collapsed="false">
      <c r="A91" s="5" t="n">
        <v>1090</v>
      </c>
      <c r="B91" s="5" t="s">
        <v>102</v>
      </c>
      <c r="C91" s="5" t="s">
        <v>38</v>
      </c>
      <c r="D91" s="5" t="s">
        <v>39</v>
      </c>
      <c r="E91" s="5" t="s">
        <v>40</v>
      </c>
      <c r="F91" s="5" t="s">
        <v>18</v>
      </c>
      <c r="G91" s="5" t="s">
        <v>19</v>
      </c>
      <c r="H91" s="6" t="n">
        <v>12000</v>
      </c>
      <c r="I91" s="5" t="n">
        <v>5</v>
      </c>
      <c r="J91" s="6" t="n">
        <v>56400</v>
      </c>
      <c r="K91" s="6" t="n">
        <v>59400</v>
      </c>
      <c r="L91" s="7" t="n">
        <v>0.94949494949495</v>
      </c>
      <c r="M91" s="5" t="s">
        <v>78</v>
      </c>
      <c r="N91" s="5" t="s">
        <v>96</v>
      </c>
    </row>
    <row r="92" customFormat="false" ht="15" hidden="false" customHeight="false" outlineLevel="0" collapsed="false">
      <c r="A92" s="2" t="n">
        <v>1091</v>
      </c>
      <c r="B92" s="2" t="s">
        <v>103</v>
      </c>
      <c r="C92" s="2" t="s">
        <v>43</v>
      </c>
      <c r="D92" s="2" t="s">
        <v>16</v>
      </c>
      <c r="E92" s="2" t="s">
        <v>31</v>
      </c>
      <c r="F92" s="2" t="s">
        <v>23</v>
      </c>
      <c r="G92" s="2" t="s">
        <v>24</v>
      </c>
      <c r="H92" s="3" t="n">
        <v>20000</v>
      </c>
      <c r="I92" s="2" t="n">
        <v>6</v>
      </c>
      <c r="J92" s="3" t="n">
        <v>118800</v>
      </c>
      <c r="K92" s="3" t="n">
        <v>118800</v>
      </c>
      <c r="L92" s="4" t="n">
        <v>1</v>
      </c>
      <c r="M92" s="2" t="s">
        <v>78</v>
      </c>
      <c r="N92" s="2" t="s">
        <v>96</v>
      </c>
    </row>
    <row r="93" customFormat="false" ht="15" hidden="false" customHeight="false" outlineLevel="0" collapsed="false">
      <c r="A93" s="5" t="n">
        <v>1092</v>
      </c>
      <c r="B93" s="5" t="s">
        <v>98</v>
      </c>
      <c r="C93" s="5" t="s">
        <v>43</v>
      </c>
      <c r="D93" s="5" t="s">
        <v>16</v>
      </c>
      <c r="E93" s="5" t="s">
        <v>31</v>
      </c>
      <c r="F93" s="5" t="s">
        <v>26</v>
      </c>
      <c r="G93" s="5" t="s">
        <v>27</v>
      </c>
      <c r="H93" s="6" t="n">
        <v>15000</v>
      </c>
      <c r="I93" s="5" t="n">
        <v>8</v>
      </c>
      <c r="J93" s="6" t="n">
        <v>130800</v>
      </c>
      <c r="K93" s="6" t="n">
        <v>130800</v>
      </c>
      <c r="L93" s="7" t="n">
        <v>1</v>
      </c>
      <c r="M93" s="5" t="s">
        <v>78</v>
      </c>
      <c r="N93" s="5" t="s">
        <v>96</v>
      </c>
    </row>
    <row r="94" customFormat="false" ht="15" hidden="false" customHeight="false" outlineLevel="0" collapsed="false">
      <c r="A94" s="2" t="n">
        <v>1093</v>
      </c>
      <c r="B94" s="2" t="s">
        <v>104</v>
      </c>
      <c r="C94" s="2" t="s">
        <v>43</v>
      </c>
      <c r="D94" s="2" t="s">
        <v>16</v>
      </c>
      <c r="E94" s="2" t="s">
        <v>31</v>
      </c>
      <c r="F94" s="2" t="s">
        <v>44</v>
      </c>
      <c r="G94" s="2" t="s">
        <v>19</v>
      </c>
      <c r="H94" s="3" t="n">
        <v>18000</v>
      </c>
      <c r="I94" s="2" t="n">
        <v>2</v>
      </c>
      <c r="J94" s="3" t="n">
        <v>33840</v>
      </c>
      <c r="K94" s="3" t="n">
        <v>37080</v>
      </c>
      <c r="L94" s="4" t="n">
        <v>0.912621359223301</v>
      </c>
      <c r="M94" s="2" t="s">
        <v>78</v>
      </c>
      <c r="N94" s="2" t="s">
        <v>96</v>
      </c>
    </row>
    <row r="95" customFormat="false" ht="15" hidden="false" customHeight="false" outlineLevel="0" collapsed="false">
      <c r="A95" s="5" t="n">
        <v>1094</v>
      </c>
      <c r="B95" s="5" t="s">
        <v>103</v>
      </c>
      <c r="C95" s="5" t="s">
        <v>46</v>
      </c>
      <c r="D95" s="5" t="s">
        <v>30</v>
      </c>
      <c r="E95" s="5" t="s">
        <v>40</v>
      </c>
      <c r="F95" s="5" t="s">
        <v>18</v>
      </c>
      <c r="G95" s="5" t="s">
        <v>19</v>
      </c>
      <c r="H95" s="6" t="n">
        <v>12000</v>
      </c>
      <c r="I95" s="5" t="n">
        <v>4</v>
      </c>
      <c r="J95" s="6" t="n">
        <v>50400</v>
      </c>
      <c r="K95" s="6" t="n">
        <v>45120</v>
      </c>
      <c r="L95" s="7" t="n">
        <v>1.11702127659575</v>
      </c>
      <c r="M95" s="5" t="s">
        <v>78</v>
      </c>
      <c r="N95" s="5" t="s">
        <v>96</v>
      </c>
    </row>
    <row r="96" customFormat="false" ht="15" hidden="false" customHeight="false" outlineLevel="0" collapsed="false">
      <c r="A96" s="2" t="n">
        <v>1095</v>
      </c>
      <c r="B96" s="2" t="s">
        <v>104</v>
      </c>
      <c r="C96" s="2" t="s">
        <v>46</v>
      </c>
      <c r="D96" s="2" t="s">
        <v>30</v>
      </c>
      <c r="E96" s="2" t="s">
        <v>40</v>
      </c>
      <c r="F96" s="2" t="s">
        <v>44</v>
      </c>
      <c r="G96" s="2" t="s">
        <v>19</v>
      </c>
      <c r="H96" s="3" t="n">
        <v>18000</v>
      </c>
      <c r="I96" s="2" t="n">
        <v>1</v>
      </c>
      <c r="J96" s="3" t="n">
        <v>15480</v>
      </c>
      <c r="K96" s="3" t="n">
        <v>19800</v>
      </c>
      <c r="L96" s="4" t="n">
        <v>0.781818181818182</v>
      </c>
      <c r="M96" s="2" t="s">
        <v>78</v>
      </c>
      <c r="N96" s="2" t="s">
        <v>96</v>
      </c>
    </row>
    <row r="97" customFormat="false" ht="15" hidden="false" customHeight="false" outlineLevel="0" collapsed="false">
      <c r="A97" s="5" t="n">
        <v>1096</v>
      </c>
      <c r="B97" s="5" t="s">
        <v>105</v>
      </c>
      <c r="C97" s="5" t="s">
        <v>47</v>
      </c>
      <c r="D97" s="5" t="s">
        <v>35</v>
      </c>
      <c r="E97" s="5" t="s">
        <v>17</v>
      </c>
      <c r="F97" s="5" t="s">
        <v>56</v>
      </c>
      <c r="G97" s="5" t="s">
        <v>57</v>
      </c>
      <c r="H97" s="6" t="n">
        <v>25000</v>
      </c>
      <c r="I97" s="5" t="n">
        <v>7</v>
      </c>
      <c r="J97" s="6" t="n">
        <v>196000</v>
      </c>
      <c r="K97" s="6" t="n">
        <v>178500</v>
      </c>
      <c r="L97" s="7" t="n">
        <v>1.09803921568628</v>
      </c>
      <c r="M97" s="5" t="s">
        <v>78</v>
      </c>
      <c r="N97" s="5" t="s">
        <v>96</v>
      </c>
    </row>
    <row r="98" customFormat="false" ht="15" hidden="false" customHeight="false" outlineLevel="0" collapsed="false">
      <c r="A98" s="2" t="n">
        <v>1097</v>
      </c>
      <c r="B98" s="2" t="s">
        <v>105</v>
      </c>
      <c r="C98" s="2" t="s">
        <v>49</v>
      </c>
      <c r="D98" s="2" t="s">
        <v>39</v>
      </c>
      <c r="E98" s="2" t="s">
        <v>31</v>
      </c>
      <c r="F98" s="2" t="s">
        <v>56</v>
      </c>
      <c r="G98" s="2" t="s">
        <v>57</v>
      </c>
      <c r="H98" s="3" t="n">
        <v>25000</v>
      </c>
      <c r="I98" s="2" t="n">
        <v>8</v>
      </c>
      <c r="J98" s="3" t="n">
        <v>194000</v>
      </c>
      <c r="K98" s="3" t="n">
        <v>186000</v>
      </c>
      <c r="L98" s="4" t="n">
        <v>1.04301075268817</v>
      </c>
      <c r="M98" s="2" t="s">
        <v>78</v>
      </c>
      <c r="N98" s="2" t="s">
        <v>96</v>
      </c>
    </row>
    <row r="99" customFormat="false" ht="15" hidden="false" customHeight="false" outlineLevel="0" collapsed="false">
      <c r="A99" s="5" t="n">
        <v>1098</v>
      </c>
      <c r="B99" s="5" t="s">
        <v>106</v>
      </c>
      <c r="C99" s="5" t="s">
        <v>49</v>
      </c>
      <c r="D99" s="5" t="s">
        <v>39</v>
      </c>
      <c r="E99" s="5" t="s">
        <v>31</v>
      </c>
      <c r="F99" s="5" t="s">
        <v>18</v>
      </c>
      <c r="G99" s="5" t="s">
        <v>19</v>
      </c>
      <c r="H99" s="6" t="n">
        <v>12000</v>
      </c>
      <c r="I99" s="5" t="n">
        <v>2</v>
      </c>
      <c r="J99" s="6" t="n">
        <v>25920</v>
      </c>
      <c r="K99" s="6" t="n">
        <v>22560</v>
      </c>
      <c r="L99" s="7" t="n">
        <v>1.14893617021277</v>
      </c>
      <c r="M99" s="5" t="s">
        <v>78</v>
      </c>
      <c r="N99" s="5" t="s">
        <v>96</v>
      </c>
    </row>
    <row r="100" customFormat="false" ht="15" hidden="false" customHeight="false" outlineLevel="0" collapsed="false">
      <c r="A100" s="2" t="n">
        <v>1099</v>
      </c>
      <c r="B100" s="2" t="s">
        <v>107</v>
      </c>
      <c r="C100" s="2" t="s">
        <v>49</v>
      </c>
      <c r="D100" s="2" t="s">
        <v>39</v>
      </c>
      <c r="E100" s="2" t="s">
        <v>31</v>
      </c>
      <c r="F100" s="2" t="s">
        <v>23</v>
      </c>
      <c r="G100" s="2" t="s">
        <v>24</v>
      </c>
      <c r="H100" s="3" t="n">
        <v>20000</v>
      </c>
      <c r="I100" s="2" t="n">
        <v>9</v>
      </c>
      <c r="J100" s="3" t="n">
        <v>178200</v>
      </c>
      <c r="K100" s="3" t="n">
        <v>181800</v>
      </c>
      <c r="L100" s="4" t="n">
        <v>0.98019801980198</v>
      </c>
      <c r="M100" s="2" t="s">
        <v>78</v>
      </c>
      <c r="N100" s="2" t="s">
        <v>96</v>
      </c>
    </row>
    <row r="101" customFormat="false" ht="15" hidden="false" customHeight="false" outlineLevel="0" collapsed="false">
      <c r="A101" s="5" t="n">
        <v>1100</v>
      </c>
      <c r="B101" s="5" t="s">
        <v>95</v>
      </c>
      <c r="C101" s="5" t="s">
        <v>50</v>
      </c>
      <c r="D101" s="5" t="s">
        <v>16</v>
      </c>
      <c r="E101" s="5" t="s">
        <v>40</v>
      </c>
      <c r="F101" s="5" t="s">
        <v>56</v>
      </c>
      <c r="G101" s="5" t="s">
        <v>57</v>
      </c>
      <c r="H101" s="6" t="n">
        <v>25000</v>
      </c>
      <c r="I101" s="5" t="n">
        <v>3</v>
      </c>
      <c r="J101" s="6" t="n">
        <v>81750</v>
      </c>
      <c r="K101" s="6" t="n">
        <v>77250</v>
      </c>
      <c r="L101" s="7" t="n">
        <v>1.05825242718447</v>
      </c>
      <c r="M101" s="5" t="s">
        <v>78</v>
      </c>
      <c r="N101" s="5" t="s">
        <v>96</v>
      </c>
    </row>
    <row r="102" customFormat="false" ht="15" hidden="false" customHeight="false" outlineLevel="0" collapsed="false">
      <c r="A102" s="2" t="n">
        <v>1101</v>
      </c>
      <c r="B102" s="2" t="s">
        <v>108</v>
      </c>
      <c r="C102" s="2" t="s">
        <v>51</v>
      </c>
      <c r="D102" s="2" t="s">
        <v>30</v>
      </c>
      <c r="E102" s="2" t="s">
        <v>17</v>
      </c>
      <c r="F102" s="2" t="s">
        <v>36</v>
      </c>
      <c r="G102" s="2" t="s">
        <v>24</v>
      </c>
      <c r="H102" s="3" t="n">
        <v>8000</v>
      </c>
      <c r="I102" s="2" t="n">
        <v>8</v>
      </c>
      <c r="J102" s="3" t="n">
        <v>65920</v>
      </c>
      <c r="K102" s="3" t="n">
        <v>66560</v>
      </c>
      <c r="L102" s="4" t="n">
        <v>0.990384615384615</v>
      </c>
      <c r="M102" s="2" t="s">
        <v>78</v>
      </c>
      <c r="N102" s="2" t="s">
        <v>96</v>
      </c>
    </row>
    <row r="103" customFormat="false" ht="15" hidden="false" customHeight="false" outlineLevel="0" collapsed="false">
      <c r="A103" s="5" t="n">
        <v>1102</v>
      </c>
      <c r="B103" s="5" t="s">
        <v>107</v>
      </c>
      <c r="C103" s="5" t="s">
        <v>51</v>
      </c>
      <c r="D103" s="5" t="s">
        <v>30</v>
      </c>
      <c r="E103" s="5" t="s">
        <v>17</v>
      </c>
      <c r="F103" s="5" t="s">
        <v>56</v>
      </c>
      <c r="G103" s="5" t="s">
        <v>57</v>
      </c>
      <c r="H103" s="6" t="n">
        <v>25000</v>
      </c>
      <c r="I103" s="5" t="n">
        <v>9</v>
      </c>
      <c r="J103" s="6" t="n">
        <v>220500</v>
      </c>
      <c r="K103" s="6" t="n">
        <v>209250</v>
      </c>
      <c r="L103" s="7" t="n">
        <v>1.05376344086022</v>
      </c>
      <c r="M103" s="5" t="s">
        <v>78</v>
      </c>
      <c r="N103" s="5" t="s">
        <v>96</v>
      </c>
    </row>
    <row r="104" customFormat="false" ht="15" hidden="false" customHeight="false" outlineLevel="0" collapsed="false">
      <c r="A104" s="2" t="n">
        <v>1103</v>
      </c>
      <c r="B104" s="2" t="s">
        <v>109</v>
      </c>
      <c r="C104" s="2" t="s">
        <v>51</v>
      </c>
      <c r="D104" s="2" t="s">
        <v>30</v>
      </c>
      <c r="E104" s="2" t="s">
        <v>17</v>
      </c>
      <c r="F104" s="2" t="s">
        <v>56</v>
      </c>
      <c r="G104" s="2" t="s">
        <v>57</v>
      </c>
      <c r="H104" s="3" t="n">
        <v>25000</v>
      </c>
      <c r="I104" s="2" t="n">
        <v>8</v>
      </c>
      <c r="J104" s="3" t="n">
        <v>186000</v>
      </c>
      <c r="K104" s="3" t="n">
        <v>190000</v>
      </c>
      <c r="L104" s="4" t="n">
        <v>0.978947368421053</v>
      </c>
      <c r="M104" s="2" t="s">
        <v>78</v>
      </c>
      <c r="N104" s="2" t="s">
        <v>96</v>
      </c>
    </row>
    <row r="105" customFormat="false" ht="15" hidden="false" customHeight="false" outlineLevel="0" collapsed="false">
      <c r="A105" s="5" t="n">
        <v>1104</v>
      </c>
      <c r="B105" s="5" t="s">
        <v>110</v>
      </c>
      <c r="C105" s="5" t="s">
        <v>15</v>
      </c>
      <c r="D105" s="5" t="s">
        <v>16</v>
      </c>
      <c r="E105" s="5" t="s">
        <v>17</v>
      </c>
      <c r="F105" s="5" t="s">
        <v>26</v>
      </c>
      <c r="G105" s="5" t="s">
        <v>27</v>
      </c>
      <c r="H105" s="6" t="n">
        <v>15000</v>
      </c>
      <c r="I105" s="5" t="n">
        <v>8</v>
      </c>
      <c r="J105" s="6" t="n">
        <v>124800</v>
      </c>
      <c r="K105" s="6" t="n">
        <v>114000</v>
      </c>
      <c r="L105" s="7" t="n">
        <v>1.09473684210526</v>
      </c>
      <c r="M105" s="5" t="s">
        <v>78</v>
      </c>
      <c r="N105" s="5" t="s">
        <v>111</v>
      </c>
    </row>
    <row r="106" customFormat="false" ht="15" hidden="false" customHeight="false" outlineLevel="0" collapsed="false">
      <c r="A106" s="2" t="n">
        <v>1105</v>
      </c>
      <c r="B106" s="2" t="s">
        <v>112</v>
      </c>
      <c r="C106" s="2" t="s">
        <v>15</v>
      </c>
      <c r="D106" s="2" t="s">
        <v>16</v>
      </c>
      <c r="E106" s="2" t="s">
        <v>17</v>
      </c>
      <c r="F106" s="2" t="s">
        <v>23</v>
      </c>
      <c r="G106" s="2" t="s">
        <v>24</v>
      </c>
      <c r="H106" s="3" t="n">
        <v>20000</v>
      </c>
      <c r="I106" s="2" t="n">
        <v>5</v>
      </c>
      <c r="J106" s="3" t="n">
        <v>92000</v>
      </c>
      <c r="K106" s="3" t="n">
        <v>97000</v>
      </c>
      <c r="L106" s="4" t="n">
        <v>0.948453608247423</v>
      </c>
      <c r="M106" s="2" t="s">
        <v>78</v>
      </c>
      <c r="N106" s="2" t="s">
        <v>111</v>
      </c>
    </row>
    <row r="107" customFormat="false" ht="15" hidden="false" customHeight="false" outlineLevel="0" collapsed="false">
      <c r="A107" s="5" t="n">
        <v>1106</v>
      </c>
      <c r="B107" s="5" t="s">
        <v>113</v>
      </c>
      <c r="C107" s="5" t="s">
        <v>29</v>
      </c>
      <c r="D107" s="5" t="s">
        <v>30</v>
      </c>
      <c r="E107" s="5" t="s">
        <v>31</v>
      </c>
      <c r="F107" s="5" t="s">
        <v>44</v>
      </c>
      <c r="G107" s="5" t="s">
        <v>19</v>
      </c>
      <c r="H107" s="6" t="n">
        <v>18000</v>
      </c>
      <c r="I107" s="5" t="n">
        <v>3</v>
      </c>
      <c r="J107" s="6" t="n">
        <v>49680</v>
      </c>
      <c r="K107" s="6" t="n">
        <v>56160</v>
      </c>
      <c r="L107" s="7" t="n">
        <v>0.884615384615385</v>
      </c>
      <c r="M107" s="5" t="s">
        <v>78</v>
      </c>
      <c r="N107" s="5" t="s">
        <v>111</v>
      </c>
    </row>
    <row r="108" customFormat="false" ht="15" hidden="false" customHeight="false" outlineLevel="0" collapsed="false">
      <c r="A108" s="2" t="n">
        <v>1107</v>
      </c>
      <c r="B108" s="2" t="s">
        <v>114</v>
      </c>
      <c r="C108" s="2" t="s">
        <v>34</v>
      </c>
      <c r="D108" s="2" t="s">
        <v>35</v>
      </c>
      <c r="E108" s="2" t="s">
        <v>17</v>
      </c>
      <c r="F108" s="2" t="s">
        <v>18</v>
      </c>
      <c r="G108" s="2" t="s">
        <v>19</v>
      </c>
      <c r="H108" s="3" t="n">
        <v>12000</v>
      </c>
      <c r="I108" s="2" t="n">
        <v>7</v>
      </c>
      <c r="J108" s="3" t="n">
        <v>81480</v>
      </c>
      <c r="K108" s="3" t="n">
        <v>84840</v>
      </c>
      <c r="L108" s="4" t="n">
        <v>0.96039603960396</v>
      </c>
      <c r="M108" s="2" t="s">
        <v>78</v>
      </c>
      <c r="N108" s="2" t="s">
        <v>111</v>
      </c>
    </row>
    <row r="109" customFormat="false" ht="15" hidden="false" customHeight="false" outlineLevel="0" collapsed="false">
      <c r="A109" s="5" t="n">
        <v>1108</v>
      </c>
      <c r="B109" s="5" t="s">
        <v>113</v>
      </c>
      <c r="C109" s="5" t="s">
        <v>38</v>
      </c>
      <c r="D109" s="5" t="s">
        <v>39</v>
      </c>
      <c r="E109" s="5" t="s">
        <v>40</v>
      </c>
      <c r="F109" s="5" t="s">
        <v>44</v>
      </c>
      <c r="G109" s="5" t="s">
        <v>19</v>
      </c>
      <c r="H109" s="6" t="n">
        <v>18000</v>
      </c>
      <c r="I109" s="5" t="n">
        <v>7</v>
      </c>
      <c r="J109" s="6" t="n">
        <v>122220</v>
      </c>
      <c r="K109" s="6" t="n">
        <v>132300</v>
      </c>
      <c r="L109" s="7" t="n">
        <v>0.923809523809524</v>
      </c>
      <c r="M109" s="5" t="s">
        <v>78</v>
      </c>
      <c r="N109" s="5" t="s">
        <v>111</v>
      </c>
    </row>
    <row r="110" customFormat="false" ht="15" hidden="false" customHeight="false" outlineLevel="0" collapsed="false">
      <c r="A110" s="2" t="n">
        <v>1109</v>
      </c>
      <c r="B110" s="2" t="s">
        <v>115</v>
      </c>
      <c r="C110" s="2" t="s">
        <v>43</v>
      </c>
      <c r="D110" s="2" t="s">
        <v>16</v>
      </c>
      <c r="E110" s="2" t="s">
        <v>31</v>
      </c>
      <c r="F110" s="2" t="s">
        <v>26</v>
      </c>
      <c r="G110" s="2" t="s">
        <v>27</v>
      </c>
      <c r="H110" s="3" t="n">
        <v>15000</v>
      </c>
      <c r="I110" s="2" t="n">
        <v>7</v>
      </c>
      <c r="J110" s="3" t="n">
        <v>103950</v>
      </c>
      <c r="K110" s="3" t="n">
        <v>114450</v>
      </c>
      <c r="L110" s="4" t="n">
        <v>0.908256880733945</v>
      </c>
      <c r="M110" s="2" t="s">
        <v>78</v>
      </c>
      <c r="N110" s="2" t="s">
        <v>111</v>
      </c>
    </row>
    <row r="111" customFormat="false" ht="15" hidden="false" customHeight="false" outlineLevel="0" collapsed="false">
      <c r="A111" s="5" t="n">
        <v>1110</v>
      </c>
      <c r="B111" s="5" t="s">
        <v>116</v>
      </c>
      <c r="C111" s="5" t="s">
        <v>46</v>
      </c>
      <c r="D111" s="5" t="s">
        <v>30</v>
      </c>
      <c r="E111" s="5" t="s">
        <v>40</v>
      </c>
      <c r="F111" s="5" t="s">
        <v>56</v>
      </c>
      <c r="G111" s="5" t="s">
        <v>57</v>
      </c>
      <c r="H111" s="6" t="n">
        <v>25000</v>
      </c>
      <c r="I111" s="5" t="n">
        <v>9</v>
      </c>
      <c r="J111" s="6" t="n">
        <v>240750</v>
      </c>
      <c r="K111" s="6" t="n">
        <v>227250</v>
      </c>
      <c r="L111" s="7" t="n">
        <v>1.05940594059406</v>
      </c>
      <c r="M111" s="5" t="s">
        <v>78</v>
      </c>
      <c r="N111" s="5" t="s">
        <v>111</v>
      </c>
    </row>
    <row r="112" customFormat="false" ht="15" hidden="false" customHeight="false" outlineLevel="0" collapsed="false">
      <c r="A112" s="2" t="n">
        <v>1111</v>
      </c>
      <c r="B112" s="2" t="s">
        <v>117</v>
      </c>
      <c r="C112" s="2" t="s">
        <v>46</v>
      </c>
      <c r="D112" s="2" t="s">
        <v>30</v>
      </c>
      <c r="E112" s="2" t="s">
        <v>40</v>
      </c>
      <c r="F112" s="2" t="s">
        <v>44</v>
      </c>
      <c r="G112" s="2" t="s">
        <v>19</v>
      </c>
      <c r="H112" s="3" t="n">
        <v>18000</v>
      </c>
      <c r="I112" s="2" t="n">
        <v>8</v>
      </c>
      <c r="J112" s="3" t="n">
        <v>132480</v>
      </c>
      <c r="K112" s="3" t="n">
        <v>142560</v>
      </c>
      <c r="L112" s="4" t="n">
        <v>0.929292929292929</v>
      </c>
      <c r="M112" s="2" t="s">
        <v>78</v>
      </c>
      <c r="N112" s="2" t="s">
        <v>111</v>
      </c>
    </row>
    <row r="113" customFormat="false" ht="15" hidden="false" customHeight="false" outlineLevel="0" collapsed="false">
      <c r="A113" s="5" t="n">
        <v>1112</v>
      </c>
      <c r="B113" s="5" t="s">
        <v>118</v>
      </c>
      <c r="C113" s="5" t="s">
        <v>47</v>
      </c>
      <c r="D113" s="5" t="s">
        <v>35</v>
      </c>
      <c r="E113" s="5" t="s">
        <v>17</v>
      </c>
      <c r="F113" s="5" t="s">
        <v>36</v>
      </c>
      <c r="G113" s="5" t="s">
        <v>24</v>
      </c>
      <c r="H113" s="6" t="n">
        <v>8000</v>
      </c>
      <c r="I113" s="5" t="n">
        <v>7</v>
      </c>
      <c r="J113" s="6" t="n">
        <v>59920</v>
      </c>
      <c r="K113" s="6" t="n">
        <v>59920</v>
      </c>
      <c r="L113" s="7" t="n">
        <v>1</v>
      </c>
      <c r="M113" s="5" t="s">
        <v>78</v>
      </c>
      <c r="N113" s="5" t="s">
        <v>111</v>
      </c>
    </row>
    <row r="114" customFormat="false" ht="15" hidden="false" customHeight="false" outlineLevel="0" collapsed="false">
      <c r="A114" s="2" t="n">
        <v>1113</v>
      </c>
      <c r="B114" s="2" t="s">
        <v>119</v>
      </c>
      <c r="C114" s="2" t="s">
        <v>47</v>
      </c>
      <c r="D114" s="2" t="s">
        <v>35</v>
      </c>
      <c r="E114" s="2" t="s">
        <v>17</v>
      </c>
      <c r="F114" s="2" t="s">
        <v>26</v>
      </c>
      <c r="G114" s="2" t="s">
        <v>27</v>
      </c>
      <c r="H114" s="3" t="n">
        <v>15000</v>
      </c>
      <c r="I114" s="2" t="n">
        <v>9</v>
      </c>
      <c r="J114" s="3" t="n">
        <v>116100</v>
      </c>
      <c r="K114" s="3" t="n">
        <v>132300</v>
      </c>
      <c r="L114" s="4" t="n">
        <v>0.877551020408163</v>
      </c>
      <c r="M114" s="2" t="s">
        <v>78</v>
      </c>
      <c r="N114" s="2" t="s">
        <v>111</v>
      </c>
    </row>
    <row r="115" customFormat="false" ht="15" hidden="false" customHeight="false" outlineLevel="0" collapsed="false">
      <c r="A115" s="5" t="n">
        <v>1114</v>
      </c>
      <c r="B115" s="5" t="s">
        <v>120</v>
      </c>
      <c r="C115" s="5" t="s">
        <v>49</v>
      </c>
      <c r="D115" s="5" t="s">
        <v>39</v>
      </c>
      <c r="E115" s="5" t="s">
        <v>31</v>
      </c>
      <c r="F115" s="5" t="s">
        <v>18</v>
      </c>
      <c r="G115" s="5" t="s">
        <v>19</v>
      </c>
      <c r="H115" s="6" t="n">
        <v>12000</v>
      </c>
      <c r="I115" s="5" t="n">
        <v>2</v>
      </c>
      <c r="J115" s="6" t="n">
        <v>24960</v>
      </c>
      <c r="K115" s="6" t="n">
        <v>22320</v>
      </c>
      <c r="L115" s="7" t="n">
        <v>1.11827956989247</v>
      </c>
      <c r="M115" s="5" t="s">
        <v>78</v>
      </c>
      <c r="N115" s="5" t="s">
        <v>111</v>
      </c>
    </row>
    <row r="116" customFormat="false" ht="15" hidden="false" customHeight="false" outlineLevel="0" collapsed="false">
      <c r="A116" s="2" t="n">
        <v>1115</v>
      </c>
      <c r="B116" s="2" t="s">
        <v>120</v>
      </c>
      <c r="C116" s="2" t="s">
        <v>49</v>
      </c>
      <c r="D116" s="2" t="s">
        <v>39</v>
      </c>
      <c r="E116" s="2" t="s">
        <v>31</v>
      </c>
      <c r="F116" s="2" t="s">
        <v>44</v>
      </c>
      <c r="G116" s="2" t="s">
        <v>19</v>
      </c>
      <c r="H116" s="3" t="n">
        <v>18000</v>
      </c>
      <c r="I116" s="2" t="n">
        <v>1</v>
      </c>
      <c r="J116" s="3" t="n">
        <v>16740</v>
      </c>
      <c r="K116" s="3" t="n">
        <v>17460</v>
      </c>
      <c r="L116" s="4" t="n">
        <v>0.958762886597938</v>
      </c>
      <c r="M116" s="2" t="s">
        <v>78</v>
      </c>
      <c r="N116" s="2" t="s">
        <v>111</v>
      </c>
    </row>
    <row r="117" customFormat="false" ht="15" hidden="false" customHeight="false" outlineLevel="0" collapsed="false">
      <c r="A117" s="5" t="n">
        <v>1116</v>
      </c>
      <c r="B117" s="5" t="s">
        <v>121</v>
      </c>
      <c r="C117" s="5" t="s">
        <v>49</v>
      </c>
      <c r="D117" s="5" t="s">
        <v>39</v>
      </c>
      <c r="E117" s="5" t="s">
        <v>31</v>
      </c>
      <c r="F117" s="5" t="s">
        <v>36</v>
      </c>
      <c r="G117" s="5" t="s">
        <v>24</v>
      </c>
      <c r="H117" s="6" t="n">
        <v>8000</v>
      </c>
      <c r="I117" s="5" t="n">
        <v>6</v>
      </c>
      <c r="J117" s="6" t="n">
        <v>51840</v>
      </c>
      <c r="K117" s="6" t="n">
        <v>47040</v>
      </c>
      <c r="L117" s="7" t="n">
        <v>1.10204081632653</v>
      </c>
      <c r="M117" s="5" t="s">
        <v>78</v>
      </c>
      <c r="N117" s="5" t="s">
        <v>111</v>
      </c>
    </row>
    <row r="118" customFormat="false" ht="15" hidden="false" customHeight="false" outlineLevel="0" collapsed="false">
      <c r="A118" s="2" t="n">
        <v>1117</v>
      </c>
      <c r="B118" s="2" t="s">
        <v>122</v>
      </c>
      <c r="C118" s="2" t="s">
        <v>50</v>
      </c>
      <c r="D118" s="2" t="s">
        <v>16</v>
      </c>
      <c r="E118" s="2" t="s">
        <v>40</v>
      </c>
      <c r="F118" s="2" t="s">
        <v>36</v>
      </c>
      <c r="G118" s="2" t="s">
        <v>24</v>
      </c>
      <c r="H118" s="3" t="n">
        <v>8000</v>
      </c>
      <c r="I118" s="2" t="n">
        <v>2</v>
      </c>
      <c r="J118" s="3" t="n">
        <v>15840</v>
      </c>
      <c r="K118" s="3" t="n">
        <v>16800</v>
      </c>
      <c r="L118" s="4" t="n">
        <v>0.942857142857143</v>
      </c>
      <c r="M118" s="2" t="s">
        <v>78</v>
      </c>
      <c r="N118" s="2" t="s">
        <v>111</v>
      </c>
    </row>
    <row r="119" customFormat="false" ht="15" hidden="false" customHeight="false" outlineLevel="0" collapsed="false">
      <c r="A119" s="5" t="n">
        <v>1118</v>
      </c>
      <c r="B119" s="5" t="s">
        <v>123</v>
      </c>
      <c r="C119" s="5" t="s">
        <v>50</v>
      </c>
      <c r="D119" s="5" t="s">
        <v>16</v>
      </c>
      <c r="E119" s="5" t="s">
        <v>40</v>
      </c>
      <c r="F119" s="5" t="s">
        <v>36</v>
      </c>
      <c r="G119" s="5" t="s">
        <v>24</v>
      </c>
      <c r="H119" s="6" t="n">
        <v>8000</v>
      </c>
      <c r="I119" s="5" t="n">
        <v>4</v>
      </c>
      <c r="J119" s="6" t="n">
        <v>33600</v>
      </c>
      <c r="K119" s="6" t="n">
        <v>33920</v>
      </c>
      <c r="L119" s="7" t="n">
        <v>0.990566037735849</v>
      </c>
      <c r="M119" s="5" t="s">
        <v>78</v>
      </c>
      <c r="N119" s="5" t="s">
        <v>111</v>
      </c>
    </row>
    <row r="120" customFormat="false" ht="15" hidden="false" customHeight="false" outlineLevel="0" collapsed="false">
      <c r="A120" s="2" t="n">
        <v>1119</v>
      </c>
      <c r="B120" s="2" t="s">
        <v>118</v>
      </c>
      <c r="C120" s="2" t="s">
        <v>51</v>
      </c>
      <c r="D120" s="2" t="s">
        <v>30</v>
      </c>
      <c r="E120" s="2" t="s">
        <v>17</v>
      </c>
      <c r="F120" s="2" t="s">
        <v>18</v>
      </c>
      <c r="G120" s="2" t="s">
        <v>19</v>
      </c>
      <c r="H120" s="3" t="n">
        <v>12000</v>
      </c>
      <c r="I120" s="2" t="n">
        <v>4</v>
      </c>
      <c r="J120" s="3" t="n">
        <v>43680</v>
      </c>
      <c r="K120" s="3" t="n">
        <v>43200</v>
      </c>
      <c r="L120" s="4" t="n">
        <v>1.01111111111111</v>
      </c>
      <c r="M120" s="2" t="s">
        <v>78</v>
      </c>
      <c r="N120" s="2" t="s">
        <v>111</v>
      </c>
    </row>
    <row r="121" customFormat="false" ht="15" hidden="false" customHeight="false" outlineLevel="0" collapsed="false">
      <c r="A121" s="5" t="n">
        <v>1120</v>
      </c>
      <c r="B121" s="5" t="s">
        <v>124</v>
      </c>
      <c r="C121" s="5" t="s">
        <v>15</v>
      </c>
      <c r="D121" s="5" t="s">
        <v>16</v>
      </c>
      <c r="E121" s="5" t="s">
        <v>17</v>
      </c>
      <c r="F121" s="5" t="s">
        <v>44</v>
      </c>
      <c r="G121" s="5" t="s">
        <v>19</v>
      </c>
      <c r="H121" s="6" t="n">
        <v>18000</v>
      </c>
      <c r="I121" s="5" t="n">
        <v>8</v>
      </c>
      <c r="J121" s="6" t="n">
        <v>151200</v>
      </c>
      <c r="K121" s="6" t="n">
        <v>145440</v>
      </c>
      <c r="L121" s="7" t="n">
        <v>1.03960396039604</v>
      </c>
      <c r="M121" s="5" t="s">
        <v>125</v>
      </c>
      <c r="N121" s="5" t="s">
        <v>126</v>
      </c>
    </row>
    <row r="122" customFormat="false" ht="15" hidden="false" customHeight="false" outlineLevel="0" collapsed="false">
      <c r="A122" s="2" t="n">
        <v>1121</v>
      </c>
      <c r="B122" s="2" t="s">
        <v>127</v>
      </c>
      <c r="C122" s="2" t="s">
        <v>29</v>
      </c>
      <c r="D122" s="2" t="s">
        <v>30</v>
      </c>
      <c r="E122" s="2" t="s">
        <v>31</v>
      </c>
      <c r="F122" s="2" t="s">
        <v>23</v>
      </c>
      <c r="G122" s="2" t="s">
        <v>24</v>
      </c>
      <c r="H122" s="3" t="n">
        <v>20000</v>
      </c>
      <c r="I122" s="2" t="n">
        <v>5</v>
      </c>
      <c r="J122" s="3" t="n">
        <v>108000</v>
      </c>
      <c r="K122" s="3" t="n">
        <v>93000</v>
      </c>
      <c r="L122" s="4" t="n">
        <v>1.16129032258065</v>
      </c>
      <c r="M122" s="2" t="s">
        <v>125</v>
      </c>
      <c r="N122" s="2" t="s">
        <v>126</v>
      </c>
    </row>
    <row r="123" customFormat="false" ht="15" hidden="false" customHeight="false" outlineLevel="0" collapsed="false">
      <c r="A123" s="5" t="n">
        <v>1122</v>
      </c>
      <c r="B123" s="5" t="s">
        <v>128</v>
      </c>
      <c r="C123" s="5" t="s">
        <v>29</v>
      </c>
      <c r="D123" s="5" t="s">
        <v>30</v>
      </c>
      <c r="E123" s="5" t="s">
        <v>31</v>
      </c>
      <c r="F123" s="5" t="s">
        <v>23</v>
      </c>
      <c r="G123" s="5" t="s">
        <v>24</v>
      </c>
      <c r="H123" s="6" t="n">
        <v>20000</v>
      </c>
      <c r="I123" s="5" t="n">
        <v>2</v>
      </c>
      <c r="J123" s="6" t="n">
        <v>43200</v>
      </c>
      <c r="K123" s="6" t="n">
        <v>37200</v>
      </c>
      <c r="L123" s="7" t="n">
        <v>1.16129032258065</v>
      </c>
      <c r="M123" s="5" t="s">
        <v>125</v>
      </c>
      <c r="N123" s="5" t="s">
        <v>126</v>
      </c>
    </row>
    <row r="124" customFormat="false" ht="15" hidden="false" customHeight="false" outlineLevel="0" collapsed="false">
      <c r="A124" s="2" t="n">
        <v>1123</v>
      </c>
      <c r="B124" s="2" t="s">
        <v>129</v>
      </c>
      <c r="C124" s="2" t="s">
        <v>34</v>
      </c>
      <c r="D124" s="2" t="s">
        <v>35</v>
      </c>
      <c r="E124" s="2" t="s">
        <v>17</v>
      </c>
      <c r="F124" s="2" t="s">
        <v>26</v>
      </c>
      <c r="G124" s="2" t="s">
        <v>27</v>
      </c>
      <c r="H124" s="3" t="n">
        <v>15000</v>
      </c>
      <c r="I124" s="2" t="n">
        <v>1</v>
      </c>
      <c r="J124" s="3" t="n">
        <v>16950</v>
      </c>
      <c r="K124" s="3" t="n">
        <v>15300</v>
      </c>
      <c r="L124" s="4" t="n">
        <v>1.1078431372549</v>
      </c>
      <c r="M124" s="2" t="s">
        <v>125</v>
      </c>
      <c r="N124" s="2" t="s">
        <v>126</v>
      </c>
    </row>
    <row r="125" customFormat="false" ht="15" hidden="false" customHeight="false" outlineLevel="0" collapsed="false">
      <c r="A125" s="5" t="n">
        <v>1124</v>
      </c>
      <c r="B125" s="5" t="s">
        <v>130</v>
      </c>
      <c r="C125" s="5" t="s">
        <v>38</v>
      </c>
      <c r="D125" s="5" t="s">
        <v>39</v>
      </c>
      <c r="E125" s="5" t="s">
        <v>40</v>
      </c>
      <c r="F125" s="5" t="s">
        <v>23</v>
      </c>
      <c r="G125" s="5" t="s">
        <v>24</v>
      </c>
      <c r="H125" s="6" t="n">
        <v>20000</v>
      </c>
      <c r="I125" s="5" t="n">
        <v>4</v>
      </c>
      <c r="J125" s="6" t="n">
        <v>69600</v>
      </c>
      <c r="K125" s="6" t="n">
        <v>83200</v>
      </c>
      <c r="L125" s="7" t="n">
        <v>0.836538461538462</v>
      </c>
      <c r="M125" s="5" t="s">
        <v>125</v>
      </c>
      <c r="N125" s="5" t="s">
        <v>126</v>
      </c>
    </row>
    <row r="126" customFormat="false" ht="15" hidden="false" customHeight="false" outlineLevel="0" collapsed="false">
      <c r="A126" s="2" t="n">
        <v>1125</v>
      </c>
      <c r="B126" s="2" t="s">
        <v>131</v>
      </c>
      <c r="C126" s="2" t="s">
        <v>38</v>
      </c>
      <c r="D126" s="2" t="s">
        <v>39</v>
      </c>
      <c r="E126" s="2" t="s">
        <v>40</v>
      </c>
      <c r="F126" s="2" t="s">
        <v>44</v>
      </c>
      <c r="G126" s="2" t="s">
        <v>19</v>
      </c>
      <c r="H126" s="3" t="n">
        <v>18000</v>
      </c>
      <c r="I126" s="2" t="n">
        <v>2</v>
      </c>
      <c r="J126" s="3" t="n">
        <v>38160</v>
      </c>
      <c r="K126" s="3" t="n">
        <v>34560</v>
      </c>
      <c r="L126" s="4" t="n">
        <v>1.10416666666667</v>
      </c>
      <c r="M126" s="2" t="s">
        <v>125</v>
      </c>
      <c r="N126" s="2" t="s">
        <v>126</v>
      </c>
    </row>
    <row r="127" customFormat="false" ht="15" hidden="false" customHeight="false" outlineLevel="0" collapsed="false">
      <c r="A127" s="5" t="n">
        <v>1126</v>
      </c>
      <c r="B127" s="5" t="s">
        <v>132</v>
      </c>
      <c r="C127" s="5" t="s">
        <v>43</v>
      </c>
      <c r="D127" s="5" t="s">
        <v>16</v>
      </c>
      <c r="E127" s="5" t="s">
        <v>31</v>
      </c>
      <c r="F127" s="5" t="s">
        <v>18</v>
      </c>
      <c r="G127" s="5" t="s">
        <v>19</v>
      </c>
      <c r="H127" s="6" t="n">
        <v>12000</v>
      </c>
      <c r="I127" s="5" t="n">
        <v>10</v>
      </c>
      <c r="J127" s="6" t="n">
        <v>129600</v>
      </c>
      <c r="K127" s="6" t="n">
        <v>116400</v>
      </c>
      <c r="L127" s="7" t="n">
        <v>1.11340206185567</v>
      </c>
      <c r="M127" s="5" t="s">
        <v>125</v>
      </c>
      <c r="N127" s="5" t="s">
        <v>126</v>
      </c>
    </row>
    <row r="128" customFormat="false" ht="15" hidden="false" customHeight="false" outlineLevel="0" collapsed="false">
      <c r="A128" s="2" t="n">
        <v>1127</v>
      </c>
      <c r="B128" s="2" t="s">
        <v>133</v>
      </c>
      <c r="C128" s="2" t="s">
        <v>43</v>
      </c>
      <c r="D128" s="2" t="s">
        <v>16</v>
      </c>
      <c r="E128" s="2" t="s">
        <v>31</v>
      </c>
      <c r="F128" s="2" t="s">
        <v>23</v>
      </c>
      <c r="G128" s="2" t="s">
        <v>24</v>
      </c>
      <c r="H128" s="3" t="n">
        <v>20000</v>
      </c>
      <c r="I128" s="2" t="n">
        <v>6</v>
      </c>
      <c r="J128" s="3" t="n">
        <v>104400</v>
      </c>
      <c r="K128" s="3" t="n">
        <v>123600</v>
      </c>
      <c r="L128" s="4" t="n">
        <v>0.844660194174757</v>
      </c>
      <c r="M128" s="2" t="s">
        <v>125</v>
      </c>
      <c r="N128" s="2" t="s">
        <v>126</v>
      </c>
    </row>
    <row r="129" customFormat="false" ht="15" hidden="false" customHeight="false" outlineLevel="0" collapsed="false">
      <c r="A129" s="5" t="n">
        <v>1128</v>
      </c>
      <c r="B129" s="5" t="s">
        <v>130</v>
      </c>
      <c r="C129" s="5" t="s">
        <v>43</v>
      </c>
      <c r="D129" s="5" t="s">
        <v>16</v>
      </c>
      <c r="E129" s="5" t="s">
        <v>31</v>
      </c>
      <c r="F129" s="5" t="s">
        <v>56</v>
      </c>
      <c r="G129" s="5" t="s">
        <v>57</v>
      </c>
      <c r="H129" s="6" t="n">
        <v>25000</v>
      </c>
      <c r="I129" s="5" t="n">
        <v>8</v>
      </c>
      <c r="J129" s="6" t="n">
        <v>176000</v>
      </c>
      <c r="K129" s="6" t="n">
        <v>218000</v>
      </c>
      <c r="L129" s="7" t="n">
        <v>0.807339449541284</v>
      </c>
      <c r="M129" s="5" t="s">
        <v>125</v>
      </c>
      <c r="N129" s="5" t="s">
        <v>126</v>
      </c>
    </row>
    <row r="130" customFormat="false" ht="15" hidden="false" customHeight="false" outlineLevel="0" collapsed="false">
      <c r="A130" s="2" t="n">
        <v>1129</v>
      </c>
      <c r="B130" s="2" t="s">
        <v>130</v>
      </c>
      <c r="C130" s="2" t="s">
        <v>46</v>
      </c>
      <c r="D130" s="2" t="s">
        <v>30</v>
      </c>
      <c r="E130" s="2" t="s">
        <v>40</v>
      </c>
      <c r="F130" s="2" t="s">
        <v>23</v>
      </c>
      <c r="G130" s="2" t="s">
        <v>24</v>
      </c>
      <c r="H130" s="3" t="n">
        <v>20000</v>
      </c>
      <c r="I130" s="2" t="n">
        <v>3</v>
      </c>
      <c r="J130" s="3" t="n">
        <v>58800</v>
      </c>
      <c r="K130" s="3" t="n">
        <v>63000</v>
      </c>
      <c r="L130" s="4" t="n">
        <v>0.933333333333333</v>
      </c>
      <c r="M130" s="2" t="s">
        <v>125</v>
      </c>
      <c r="N130" s="2" t="s">
        <v>126</v>
      </c>
    </row>
    <row r="131" customFormat="false" ht="15" hidden="false" customHeight="false" outlineLevel="0" collapsed="false">
      <c r="A131" s="5" t="n">
        <v>1130</v>
      </c>
      <c r="B131" s="5" t="s">
        <v>134</v>
      </c>
      <c r="C131" s="5" t="s">
        <v>46</v>
      </c>
      <c r="D131" s="5" t="s">
        <v>30</v>
      </c>
      <c r="E131" s="5" t="s">
        <v>40</v>
      </c>
      <c r="F131" s="5" t="s">
        <v>36</v>
      </c>
      <c r="G131" s="5" t="s">
        <v>24</v>
      </c>
      <c r="H131" s="6" t="n">
        <v>8000</v>
      </c>
      <c r="I131" s="5" t="n">
        <v>10</v>
      </c>
      <c r="J131" s="6" t="n">
        <v>87200</v>
      </c>
      <c r="K131" s="6" t="n">
        <v>80800</v>
      </c>
      <c r="L131" s="7" t="n">
        <v>1.07920792079208</v>
      </c>
      <c r="M131" s="5" t="s">
        <v>125</v>
      </c>
      <c r="N131" s="5" t="s">
        <v>126</v>
      </c>
    </row>
    <row r="132" customFormat="false" ht="15" hidden="false" customHeight="false" outlineLevel="0" collapsed="false">
      <c r="A132" s="2" t="n">
        <v>1131</v>
      </c>
      <c r="B132" s="2" t="s">
        <v>135</v>
      </c>
      <c r="C132" s="2" t="s">
        <v>47</v>
      </c>
      <c r="D132" s="2" t="s">
        <v>35</v>
      </c>
      <c r="E132" s="2" t="s">
        <v>17</v>
      </c>
      <c r="F132" s="2" t="s">
        <v>56</v>
      </c>
      <c r="G132" s="2" t="s">
        <v>57</v>
      </c>
      <c r="H132" s="3" t="n">
        <v>25000</v>
      </c>
      <c r="I132" s="2" t="n">
        <v>10</v>
      </c>
      <c r="J132" s="3" t="n">
        <v>232500</v>
      </c>
      <c r="K132" s="3" t="n">
        <v>267500</v>
      </c>
      <c r="L132" s="4" t="n">
        <v>0.869158878504673</v>
      </c>
      <c r="M132" s="2" t="s">
        <v>125</v>
      </c>
      <c r="N132" s="2" t="s">
        <v>126</v>
      </c>
    </row>
    <row r="133" customFormat="false" ht="15" hidden="false" customHeight="false" outlineLevel="0" collapsed="false">
      <c r="A133" s="5" t="n">
        <v>1132</v>
      </c>
      <c r="B133" s="5" t="s">
        <v>136</v>
      </c>
      <c r="C133" s="5" t="s">
        <v>47</v>
      </c>
      <c r="D133" s="5" t="s">
        <v>35</v>
      </c>
      <c r="E133" s="5" t="s">
        <v>17</v>
      </c>
      <c r="F133" s="5" t="s">
        <v>18</v>
      </c>
      <c r="G133" s="5" t="s">
        <v>19</v>
      </c>
      <c r="H133" s="6" t="n">
        <v>12000</v>
      </c>
      <c r="I133" s="5" t="n">
        <v>5</v>
      </c>
      <c r="J133" s="6" t="n">
        <v>66600</v>
      </c>
      <c r="K133" s="6" t="n">
        <v>57000</v>
      </c>
      <c r="L133" s="7" t="n">
        <v>1.16842105263158</v>
      </c>
      <c r="M133" s="5" t="s">
        <v>125</v>
      </c>
      <c r="N133" s="5" t="s">
        <v>126</v>
      </c>
    </row>
    <row r="134" customFormat="false" ht="15" hidden="false" customHeight="false" outlineLevel="0" collapsed="false">
      <c r="A134" s="2" t="n">
        <v>1133</v>
      </c>
      <c r="B134" s="2" t="s">
        <v>137</v>
      </c>
      <c r="C134" s="2" t="s">
        <v>49</v>
      </c>
      <c r="D134" s="2" t="s">
        <v>39</v>
      </c>
      <c r="E134" s="2" t="s">
        <v>31</v>
      </c>
      <c r="F134" s="2" t="s">
        <v>26</v>
      </c>
      <c r="G134" s="2" t="s">
        <v>27</v>
      </c>
      <c r="H134" s="3" t="n">
        <v>15000</v>
      </c>
      <c r="I134" s="2" t="n">
        <v>7</v>
      </c>
      <c r="J134" s="3" t="n">
        <v>99750</v>
      </c>
      <c r="K134" s="3" t="n">
        <v>105000</v>
      </c>
      <c r="L134" s="4" t="n">
        <v>0.95</v>
      </c>
      <c r="M134" s="2" t="s">
        <v>125</v>
      </c>
      <c r="N134" s="2" t="s">
        <v>126</v>
      </c>
    </row>
    <row r="135" customFormat="false" ht="15" hidden="false" customHeight="false" outlineLevel="0" collapsed="false">
      <c r="A135" s="5" t="n">
        <v>1134</v>
      </c>
      <c r="B135" s="5" t="s">
        <v>137</v>
      </c>
      <c r="C135" s="5" t="s">
        <v>49</v>
      </c>
      <c r="D135" s="5" t="s">
        <v>39</v>
      </c>
      <c r="E135" s="5" t="s">
        <v>31</v>
      </c>
      <c r="F135" s="5" t="s">
        <v>44</v>
      </c>
      <c r="G135" s="5" t="s">
        <v>19</v>
      </c>
      <c r="H135" s="6" t="n">
        <v>18000</v>
      </c>
      <c r="I135" s="5" t="n">
        <v>8</v>
      </c>
      <c r="J135" s="6" t="n">
        <v>131040</v>
      </c>
      <c r="K135" s="6" t="n">
        <v>152640</v>
      </c>
      <c r="L135" s="7" t="n">
        <v>0.858490566037736</v>
      </c>
      <c r="M135" s="5" t="s">
        <v>125</v>
      </c>
      <c r="N135" s="5" t="s">
        <v>126</v>
      </c>
    </row>
    <row r="136" customFormat="false" ht="15" hidden="false" customHeight="false" outlineLevel="0" collapsed="false">
      <c r="A136" s="2" t="n">
        <v>1135</v>
      </c>
      <c r="B136" s="2" t="s">
        <v>133</v>
      </c>
      <c r="C136" s="2" t="s">
        <v>49</v>
      </c>
      <c r="D136" s="2" t="s">
        <v>39</v>
      </c>
      <c r="E136" s="2" t="s">
        <v>31</v>
      </c>
      <c r="F136" s="2" t="s">
        <v>36</v>
      </c>
      <c r="G136" s="2" t="s">
        <v>24</v>
      </c>
      <c r="H136" s="3" t="n">
        <v>8000</v>
      </c>
      <c r="I136" s="2" t="n">
        <v>10</v>
      </c>
      <c r="J136" s="3" t="n">
        <v>84800</v>
      </c>
      <c r="K136" s="3" t="n">
        <v>76800</v>
      </c>
      <c r="L136" s="4" t="n">
        <v>1.10416666666667</v>
      </c>
      <c r="M136" s="2" t="s">
        <v>125</v>
      </c>
      <c r="N136" s="2" t="s">
        <v>126</v>
      </c>
    </row>
    <row r="137" customFormat="false" ht="15" hidden="false" customHeight="false" outlineLevel="0" collapsed="false">
      <c r="A137" s="5" t="n">
        <v>1136</v>
      </c>
      <c r="B137" s="5" t="s">
        <v>138</v>
      </c>
      <c r="C137" s="5" t="s">
        <v>50</v>
      </c>
      <c r="D137" s="5" t="s">
        <v>16</v>
      </c>
      <c r="E137" s="5" t="s">
        <v>40</v>
      </c>
      <c r="F137" s="5" t="s">
        <v>44</v>
      </c>
      <c r="G137" s="5" t="s">
        <v>19</v>
      </c>
      <c r="H137" s="6" t="n">
        <v>18000</v>
      </c>
      <c r="I137" s="5" t="n">
        <v>2</v>
      </c>
      <c r="J137" s="6" t="n">
        <v>33120</v>
      </c>
      <c r="K137" s="6" t="n">
        <v>35280</v>
      </c>
      <c r="L137" s="7" t="n">
        <v>0.938775510204082</v>
      </c>
      <c r="M137" s="5" t="s">
        <v>125</v>
      </c>
      <c r="N137" s="5" t="s">
        <v>126</v>
      </c>
    </row>
    <row r="138" customFormat="false" ht="15" hidden="false" customHeight="false" outlineLevel="0" collapsed="false">
      <c r="A138" s="2" t="n">
        <v>1137</v>
      </c>
      <c r="B138" s="2" t="s">
        <v>139</v>
      </c>
      <c r="C138" s="2" t="s">
        <v>50</v>
      </c>
      <c r="D138" s="2" t="s">
        <v>16</v>
      </c>
      <c r="E138" s="2" t="s">
        <v>40</v>
      </c>
      <c r="F138" s="2" t="s">
        <v>44</v>
      </c>
      <c r="G138" s="2" t="s">
        <v>19</v>
      </c>
      <c r="H138" s="3" t="n">
        <v>18000</v>
      </c>
      <c r="I138" s="2" t="n">
        <v>8</v>
      </c>
      <c r="J138" s="3" t="n">
        <v>149760</v>
      </c>
      <c r="K138" s="3" t="n">
        <v>144000</v>
      </c>
      <c r="L138" s="4" t="n">
        <v>1.04</v>
      </c>
      <c r="M138" s="2" t="s">
        <v>125</v>
      </c>
      <c r="N138" s="2" t="s">
        <v>126</v>
      </c>
    </row>
    <row r="139" customFormat="false" ht="15" hidden="false" customHeight="false" outlineLevel="0" collapsed="false">
      <c r="A139" s="5" t="n">
        <v>1138</v>
      </c>
      <c r="B139" s="5" t="s">
        <v>140</v>
      </c>
      <c r="C139" s="5" t="s">
        <v>50</v>
      </c>
      <c r="D139" s="5" t="s">
        <v>16</v>
      </c>
      <c r="E139" s="5" t="s">
        <v>40</v>
      </c>
      <c r="F139" s="5" t="s">
        <v>18</v>
      </c>
      <c r="G139" s="5" t="s">
        <v>19</v>
      </c>
      <c r="H139" s="6" t="n">
        <v>12000</v>
      </c>
      <c r="I139" s="5" t="n">
        <v>2</v>
      </c>
      <c r="J139" s="6" t="n">
        <v>22560</v>
      </c>
      <c r="K139" s="6" t="n">
        <v>23520</v>
      </c>
      <c r="L139" s="7" t="n">
        <v>0.959183673469388</v>
      </c>
      <c r="M139" s="5" t="s">
        <v>125</v>
      </c>
      <c r="N139" s="5" t="s">
        <v>126</v>
      </c>
    </row>
    <row r="140" customFormat="false" ht="15" hidden="false" customHeight="false" outlineLevel="0" collapsed="false">
      <c r="A140" s="2" t="n">
        <v>1139</v>
      </c>
      <c r="B140" s="2" t="s">
        <v>141</v>
      </c>
      <c r="C140" s="2" t="s">
        <v>51</v>
      </c>
      <c r="D140" s="2" t="s">
        <v>30</v>
      </c>
      <c r="E140" s="2" t="s">
        <v>17</v>
      </c>
      <c r="F140" s="2" t="s">
        <v>23</v>
      </c>
      <c r="G140" s="2" t="s">
        <v>24</v>
      </c>
      <c r="H140" s="3" t="n">
        <v>20000</v>
      </c>
      <c r="I140" s="2" t="n">
        <v>10</v>
      </c>
      <c r="J140" s="3" t="n">
        <v>192000</v>
      </c>
      <c r="K140" s="3" t="n">
        <v>202000</v>
      </c>
      <c r="L140" s="4" t="n">
        <v>0.950495049504951</v>
      </c>
      <c r="M140" s="2" t="s">
        <v>125</v>
      </c>
      <c r="N140" s="2" t="s">
        <v>126</v>
      </c>
    </row>
    <row r="141" customFormat="false" ht="15" hidden="false" customHeight="false" outlineLevel="0" collapsed="false">
      <c r="A141" s="5" t="n">
        <v>1140</v>
      </c>
      <c r="B141" s="5" t="s">
        <v>142</v>
      </c>
      <c r="C141" s="5" t="s">
        <v>51</v>
      </c>
      <c r="D141" s="5" t="s">
        <v>30</v>
      </c>
      <c r="E141" s="5" t="s">
        <v>17</v>
      </c>
      <c r="F141" s="5" t="s">
        <v>56</v>
      </c>
      <c r="G141" s="5" t="s">
        <v>57</v>
      </c>
      <c r="H141" s="6" t="n">
        <v>25000</v>
      </c>
      <c r="I141" s="5" t="n">
        <v>9</v>
      </c>
      <c r="J141" s="6" t="n">
        <v>213750</v>
      </c>
      <c r="K141" s="6" t="n">
        <v>234000</v>
      </c>
      <c r="L141" s="7" t="n">
        <v>0.913461538461538</v>
      </c>
      <c r="M141" s="5" t="s">
        <v>125</v>
      </c>
      <c r="N141" s="5" t="s">
        <v>126</v>
      </c>
    </row>
    <row r="142" customFormat="false" ht="15" hidden="false" customHeight="false" outlineLevel="0" collapsed="false">
      <c r="A142" s="2" t="n">
        <v>1141</v>
      </c>
      <c r="B142" s="2" t="s">
        <v>143</v>
      </c>
      <c r="C142" s="2" t="s">
        <v>15</v>
      </c>
      <c r="D142" s="2" t="s">
        <v>16</v>
      </c>
      <c r="E142" s="2" t="s">
        <v>17</v>
      </c>
      <c r="F142" s="2" t="s">
        <v>36</v>
      </c>
      <c r="G142" s="2" t="s">
        <v>24</v>
      </c>
      <c r="H142" s="3" t="n">
        <v>8000</v>
      </c>
      <c r="I142" s="2" t="n">
        <v>4</v>
      </c>
      <c r="J142" s="3" t="n">
        <v>28480</v>
      </c>
      <c r="K142" s="3" t="n">
        <v>30080</v>
      </c>
      <c r="L142" s="4" t="n">
        <v>0.946808510638298</v>
      </c>
      <c r="M142" s="2" t="s">
        <v>125</v>
      </c>
      <c r="N142" s="2" t="s">
        <v>144</v>
      </c>
    </row>
    <row r="143" customFormat="false" ht="15" hidden="false" customHeight="false" outlineLevel="0" collapsed="false">
      <c r="A143" s="5" t="n">
        <v>1142</v>
      </c>
      <c r="B143" s="5" t="s">
        <v>145</v>
      </c>
      <c r="C143" s="5" t="s">
        <v>15</v>
      </c>
      <c r="D143" s="5" t="s">
        <v>16</v>
      </c>
      <c r="E143" s="5" t="s">
        <v>17</v>
      </c>
      <c r="F143" s="5" t="s">
        <v>23</v>
      </c>
      <c r="G143" s="5" t="s">
        <v>24</v>
      </c>
      <c r="H143" s="6" t="n">
        <v>20000</v>
      </c>
      <c r="I143" s="5" t="n">
        <v>9</v>
      </c>
      <c r="J143" s="6" t="n">
        <v>205200</v>
      </c>
      <c r="K143" s="6" t="n">
        <v>187200</v>
      </c>
      <c r="L143" s="7" t="n">
        <v>1.09615384615385</v>
      </c>
      <c r="M143" s="5" t="s">
        <v>125</v>
      </c>
      <c r="N143" s="5" t="s">
        <v>144</v>
      </c>
    </row>
    <row r="144" customFormat="false" ht="15" hidden="false" customHeight="false" outlineLevel="0" collapsed="false">
      <c r="A144" s="2" t="n">
        <v>1143</v>
      </c>
      <c r="B144" s="2" t="s">
        <v>146</v>
      </c>
      <c r="C144" s="2" t="s">
        <v>29</v>
      </c>
      <c r="D144" s="2" t="s">
        <v>30</v>
      </c>
      <c r="E144" s="2" t="s">
        <v>31</v>
      </c>
      <c r="F144" s="2" t="s">
        <v>23</v>
      </c>
      <c r="G144" s="2" t="s">
        <v>24</v>
      </c>
      <c r="H144" s="3" t="n">
        <v>20000</v>
      </c>
      <c r="I144" s="2" t="n">
        <v>8</v>
      </c>
      <c r="J144" s="3" t="n">
        <v>148800</v>
      </c>
      <c r="K144" s="3" t="n">
        <v>163200</v>
      </c>
      <c r="L144" s="4" t="n">
        <v>0.911764705882353</v>
      </c>
      <c r="M144" s="2" t="s">
        <v>125</v>
      </c>
      <c r="N144" s="2" t="s">
        <v>144</v>
      </c>
    </row>
    <row r="145" customFormat="false" ht="15" hidden="false" customHeight="false" outlineLevel="0" collapsed="false">
      <c r="A145" s="5" t="n">
        <v>1144</v>
      </c>
      <c r="B145" s="5" t="s">
        <v>147</v>
      </c>
      <c r="C145" s="5" t="s">
        <v>34</v>
      </c>
      <c r="D145" s="5" t="s">
        <v>35</v>
      </c>
      <c r="E145" s="5" t="s">
        <v>17</v>
      </c>
      <c r="F145" s="5" t="s">
        <v>26</v>
      </c>
      <c r="G145" s="5" t="s">
        <v>27</v>
      </c>
      <c r="H145" s="6" t="n">
        <v>15000</v>
      </c>
      <c r="I145" s="5" t="n">
        <v>5</v>
      </c>
      <c r="J145" s="6" t="n">
        <v>85500</v>
      </c>
      <c r="K145" s="6" t="n">
        <v>80250</v>
      </c>
      <c r="L145" s="7" t="n">
        <v>1.06542056074766</v>
      </c>
      <c r="M145" s="5" t="s">
        <v>125</v>
      </c>
      <c r="N145" s="5" t="s">
        <v>144</v>
      </c>
    </row>
    <row r="146" customFormat="false" ht="15" hidden="false" customHeight="false" outlineLevel="0" collapsed="false">
      <c r="A146" s="2" t="n">
        <v>1145</v>
      </c>
      <c r="B146" s="2" t="s">
        <v>148</v>
      </c>
      <c r="C146" s="2" t="s">
        <v>34</v>
      </c>
      <c r="D146" s="2" t="s">
        <v>35</v>
      </c>
      <c r="E146" s="2" t="s">
        <v>17</v>
      </c>
      <c r="F146" s="2" t="s">
        <v>44</v>
      </c>
      <c r="G146" s="2" t="s">
        <v>19</v>
      </c>
      <c r="H146" s="3" t="n">
        <v>18000</v>
      </c>
      <c r="I146" s="2" t="n">
        <v>6</v>
      </c>
      <c r="J146" s="3" t="n">
        <v>97200</v>
      </c>
      <c r="K146" s="3" t="n">
        <v>97200</v>
      </c>
      <c r="L146" s="4" t="n">
        <v>1</v>
      </c>
      <c r="M146" s="2" t="s">
        <v>125</v>
      </c>
      <c r="N146" s="2" t="s">
        <v>144</v>
      </c>
    </row>
    <row r="147" customFormat="false" ht="15" hidden="false" customHeight="false" outlineLevel="0" collapsed="false">
      <c r="A147" s="5" t="n">
        <v>1146</v>
      </c>
      <c r="B147" s="5" t="s">
        <v>147</v>
      </c>
      <c r="C147" s="5" t="s">
        <v>34</v>
      </c>
      <c r="D147" s="5" t="s">
        <v>35</v>
      </c>
      <c r="E147" s="5" t="s">
        <v>17</v>
      </c>
      <c r="F147" s="5" t="s">
        <v>44</v>
      </c>
      <c r="G147" s="5" t="s">
        <v>19</v>
      </c>
      <c r="H147" s="6" t="n">
        <v>18000</v>
      </c>
      <c r="I147" s="5" t="n">
        <v>5</v>
      </c>
      <c r="J147" s="6" t="n">
        <v>77400</v>
      </c>
      <c r="K147" s="6" t="n">
        <v>81900</v>
      </c>
      <c r="L147" s="7" t="n">
        <v>0.945054945054945</v>
      </c>
      <c r="M147" s="5" t="s">
        <v>125</v>
      </c>
      <c r="N147" s="5" t="s">
        <v>144</v>
      </c>
    </row>
    <row r="148" customFormat="false" ht="15" hidden="false" customHeight="false" outlineLevel="0" collapsed="false">
      <c r="A148" s="2" t="n">
        <v>1147</v>
      </c>
      <c r="B148" s="2" t="s">
        <v>147</v>
      </c>
      <c r="C148" s="2" t="s">
        <v>38</v>
      </c>
      <c r="D148" s="2" t="s">
        <v>39</v>
      </c>
      <c r="E148" s="2" t="s">
        <v>40</v>
      </c>
      <c r="F148" s="2" t="s">
        <v>44</v>
      </c>
      <c r="G148" s="2" t="s">
        <v>19</v>
      </c>
      <c r="H148" s="3" t="n">
        <v>18000</v>
      </c>
      <c r="I148" s="2" t="n">
        <v>8</v>
      </c>
      <c r="J148" s="3" t="n">
        <v>126720</v>
      </c>
      <c r="K148" s="3" t="n">
        <v>129600</v>
      </c>
      <c r="L148" s="4" t="n">
        <v>0.977777777777778</v>
      </c>
      <c r="M148" s="2" t="s">
        <v>125</v>
      </c>
      <c r="N148" s="2" t="s">
        <v>144</v>
      </c>
    </row>
    <row r="149" customFormat="false" ht="15" hidden="false" customHeight="false" outlineLevel="0" collapsed="false">
      <c r="A149" s="5" t="n">
        <v>1148</v>
      </c>
      <c r="B149" s="5" t="s">
        <v>149</v>
      </c>
      <c r="C149" s="5" t="s">
        <v>38</v>
      </c>
      <c r="D149" s="5" t="s">
        <v>39</v>
      </c>
      <c r="E149" s="5" t="s">
        <v>40</v>
      </c>
      <c r="F149" s="5" t="s">
        <v>56</v>
      </c>
      <c r="G149" s="5" t="s">
        <v>57</v>
      </c>
      <c r="H149" s="6" t="n">
        <v>25000</v>
      </c>
      <c r="I149" s="5" t="n">
        <v>8</v>
      </c>
      <c r="J149" s="6" t="n">
        <v>196000</v>
      </c>
      <c r="K149" s="6" t="n">
        <v>188000</v>
      </c>
      <c r="L149" s="7" t="n">
        <v>1.04255319148936</v>
      </c>
      <c r="M149" s="5" t="s">
        <v>125</v>
      </c>
      <c r="N149" s="5" t="s">
        <v>144</v>
      </c>
    </row>
    <row r="150" customFormat="false" ht="15" hidden="false" customHeight="false" outlineLevel="0" collapsed="false">
      <c r="A150" s="2" t="n">
        <v>1149</v>
      </c>
      <c r="B150" s="2" t="s">
        <v>150</v>
      </c>
      <c r="C150" s="2" t="s">
        <v>38</v>
      </c>
      <c r="D150" s="2" t="s">
        <v>39</v>
      </c>
      <c r="E150" s="2" t="s">
        <v>40</v>
      </c>
      <c r="F150" s="2" t="s">
        <v>36</v>
      </c>
      <c r="G150" s="2" t="s">
        <v>24</v>
      </c>
      <c r="H150" s="3" t="n">
        <v>8000</v>
      </c>
      <c r="I150" s="2" t="n">
        <v>8</v>
      </c>
      <c r="J150" s="3" t="n">
        <v>56320</v>
      </c>
      <c r="K150" s="3" t="n">
        <v>58240</v>
      </c>
      <c r="L150" s="4" t="n">
        <v>0.967032967032967</v>
      </c>
      <c r="M150" s="2" t="s">
        <v>125</v>
      </c>
      <c r="N150" s="2" t="s">
        <v>144</v>
      </c>
    </row>
    <row r="151" customFormat="false" ht="15" hidden="false" customHeight="false" outlineLevel="0" collapsed="false">
      <c r="A151" s="5" t="n">
        <v>1150</v>
      </c>
      <c r="B151" s="5" t="s">
        <v>147</v>
      </c>
      <c r="C151" s="5" t="s">
        <v>43</v>
      </c>
      <c r="D151" s="5" t="s">
        <v>16</v>
      </c>
      <c r="E151" s="5" t="s">
        <v>31</v>
      </c>
      <c r="F151" s="5" t="s">
        <v>26</v>
      </c>
      <c r="G151" s="5" t="s">
        <v>27</v>
      </c>
      <c r="H151" s="6" t="n">
        <v>15000</v>
      </c>
      <c r="I151" s="5" t="n">
        <v>1</v>
      </c>
      <c r="J151" s="6" t="n">
        <v>13500</v>
      </c>
      <c r="K151" s="6" t="n">
        <v>15900</v>
      </c>
      <c r="L151" s="7" t="n">
        <v>0.849056603773585</v>
      </c>
      <c r="M151" s="5" t="s">
        <v>125</v>
      </c>
      <c r="N151" s="5" t="s">
        <v>144</v>
      </c>
    </row>
    <row r="152" customFormat="false" ht="15" hidden="false" customHeight="false" outlineLevel="0" collapsed="false">
      <c r="A152" s="2" t="n">
        <v>1151</v>
      </c>
      <c r="B152" s="2" t="s">
        <v>151</v>
      </c>
      <c r="C152" s="2" t="s">
        <v>46</v>
      </c>
      <c r="D152" s="2" t="s">
        <v>30</v>
      </c>
      <c r="E152" s="2" t="s">
        <v>40</v>
      </c>
      <c r="F152" s="2" t="s">
        <v>44</v>
      </c>
      <c r="G152" s="2" t="s">
        <v>19</v>
      </c>
      <c r="H152" s="3" t="n">
        <v>18000</v>
      </c>
      <c r="I152" s="2" t="n">
        <v>2</v>
      </c>
      <c r="J152" s="3" t="n">
        <v>36720</v>
      </c>
      <c r="K152" s="3" t="n">
        <v>35280</v>
      </c>
      <c r="L152" s="4" t="n">
        <v>1.04081632653061</v>
      </c>
      <c r="M152" s="2" t="s">
        <v>125</v>
      </c>
      <c r="N152" s="2" t="s">
        <v>144</v>
      </c>
    </row>
    <row r="153" customFormat="false" ht="15" hidden="false" customHeight="false" outlineLevel="0" collapsed="false">
      <c r="A153" s="5" t="n">
        <v>1152</v>
      </c>
      <c r="B153" s="5" t="s">
        <v>147</v>
      </c>
      <c r="C153" s="5" t="s">
        <v>47</v>
      </c>
      <c r="D153" s="5" t="s">
        <v>35</v>
      </c>
      <c r="E153" s="5" t="s">
        <v>17</v>
      </c>
      <c r="F153" s="5" t="s">
        <v>44</v>
      </c>
      <c r="G153" s="5" t="s">
        <v>19</v>
      </c>
      <c r="H153" s="6" t="n">
        <v>18000</v>
      </c>
      <c r="I153" s="5" t="n">
        <v>9</v>
      </c>
      <c r="J153" s="6" t="n">
        <v>155520</v>
      </c>
      <c r="K153" s="6" t="n">
        <v>174960</v>
      </c>
      <c r="L153" s="7" t="n">
        <v>0.888888888888889</v>
      </c>
      <c r="M153" s="5" t="s">
        <v>125</v>
      </c>
      <c r="N153" s="5" t="s">
        <v>144</v>
      </c>
    </row>
    <row r="154" customFormat="false" ht="15" hidden="false" customHeight="false" outlineLevel="0" collapsed="false">
      <c r="A154" s="2" t="n">
        <v>1153</v>
      </c>
      <c r="B154" s="2" t="s">
        <v>151</v>
      </c>
      <c r="C154" s="2" t="s">
        <v>47</v>
      </c>
      <c r="D154" s="2" t="s">
        <v>35</v>
      </c>
      <c r="E154" s="2" t="s">
        <v>17</v>
      </c>
      <c r="F154" s="2" t="s">
        <v>26</v>
      </c>
      <c r="G154" s="2" t="s">
        <v>27</v>
      </c>
      <c r="H154" s="3" t="n">
        <v>15000</v>
      </c>
      <c r="I154" s="2" t="n">
        <v>7</v>
      </c>
      <c r="J154" s="3" t="n">
        <v>98700</v>
      </c>
      <c r="K154" s="3" t="n">
        <v>107100</v>
      </c>
      <c r="L154" s="4" t="n">
        <v>0.92156862745098</v>
      </c>
      <c r="M154" s="2" t="s">
        <v>125</v>
      </c>
      <c r="N154" s="2" t="s">
        <v>144</v>
      </c>
    </row>
    <row r="155" customFormat="false" ht="15" hidden="false" customHeight="false" outlineLevel="0" collapsed="false">
      <c r="A155" s="5" t="n">
        <v>1154</v>
      </c>
      <c r="B155" s="5" t="s">
        <v>145</v>
      </c>
      <c r="C155" s="5" t="s">
        <v>47</v>
      </c>
      <c r="D155" s="5" t="s">
        <v>35</v>
      </c>
      <c r="E155" s="5" t="s">
        <v>17</v>
      </c>
      <c r="F155" s="5" t="s">
        <v>23</v>
      </c>
      <c r="G155" s="5" t="s">
        <v>24</v>
      </c>
      <c r="H155" s="6" t="n">
        <v>20000</v>
      </c>
      <c r="I155" s="5" t="n">
        <v>2</v>
      </c>
      <c r="J155" s="6" t="n">
        <v>45200</v>
      </c>
      <c r="K155" s="6" t="n">
        <v>37600</v>
      </c>
      <c r="L155" s="7" t="n">
        <v>1.20212765957447</v>
      </c>
      <c r="M155" s="5" t="s">
        <v>125</v>
      </c>
      <c r="N155" s="5" t="s">
        <v>144</v>
      </c>
    </row>
    <row r="156" customFormat="false" ht="15" hidden="false" customHeight="false" outlineLevel="0" collapsed="false">
      <c r="A156" s="2" t="n">
        <v>1155</v>
      </c>
      <c r="B156" s="2" t="s">
        <v>152</v>
      </c>
      <c r="C156" s="2" t="s">
        <v>49</v>
      </c>
      <c r="D156" s="2" t="s">
        <v>39</v>
      </c>
      <c r="E156" s="2" t="s">
        <v>31</v>
      </c>
      <c r="F156" s="2" t="s">
        <v>23</v>
      </c>
      <c r="G156" s="2" t="s">
        <v>24</v>
      </c>
      <c r="H156" s="3" t="n">
        <v>20000</v>
      </c>
      <c r="I156" s="2" t="n">
        <v>2</v>
      </c>
      <c r="J156" s="3" t="n">
        <v>36000</v>
      </c>
      <c r="K156" s="3" t="n">
        <v>37200</v>
      </c>
      <c r="L156" s="4" t="n">
        <v>0.967741935483871</v>
      </c>
      <c r="M156" s="2" t="s">
        <v>125</v>
      </c>
      <c r="N156" s="2" t="s">
        <v>144</v>
      </c>
    </row>
    <row r="157" customFormat="false" ht="15" hidden="false" customHeight="false" outlineLevel="0" collapsed="false">
      <c r="A157" s="5" t="n">
        <v>1156</v>
      </c>
      <c r="B157" s="5" t="s">
        <v>150</v>
      </c>
      <c r="C157" s="5" t="s">
        <v>49</v>
      </c>
      <c r="D157" s="5" t="s">
        <v>39</v>
      </c>
      <c r="E157" s="5" t="s">
        <v>31</v>
      </c>
      <c r="F157" s="5" t="s">
        <v>44</v>
      </c>
      <c r="G157" s="5" t="s">
        <v>19</v>
      </c>
      <c r="H157" s="6" t="n">
        <v>18000</v>
      </c>
      <c r="I157" s="5" t="n">
        <v>1</v>
      </c>
      <c r="J157" s="6" t="n">
        <v>17460</v>
      </c>
      <c r="K157" s="6" t="n">
        <v>18720</v>
      </c>
      <c r="L157" s="7" t="n">
        <v>0.932692307692308</v>
      </c>
      <c r="M157" s="5" t="s">
        <v>125</v>
      </c>
      <c r="N157" s="5" t="s">
        <v>144</v>
      </c>
    </row>
    <row r="158" customFormat="false" ht="15" hidden="false" customHeight="false" outlineLevel="0" collapsed="false">
      <c r="A158" s="2" t="n">
        <v>1157</v>
      </c>
      <c r="B158" s="2" t="s">
        <v>153</v>
      </c>
      <c r="C158" s="2" t="s">
        <v>50</v>
      </c>
      <c r="D158" s="2" t="s">
        <v>16</v>
      </c>
      <c r="E158" s="2" t="s">
        <v>40</v>
      </c>
      <c r="F158" s="2" t="s">
        <v>18</v>
      </c>
      <c r="G158" s="2" t="s">
        <v>19</v>
      </c>
      <c r="H158" s="3" t="n">
        <v>12000</v>
      </c>
      <c r="I158" s="2" t="n">
        <v>4</v>
      </c>
      <c r="J158" s="3" t="n">
        <v>45120</v>
      </c>
      <c r="K158" s="3" t="n">
        <v>46080</v>
      </c>
      <c r="L158" s="4" t="n">
        <v>0.979166666666667</v>
      </c>
      <c r="M158" s="2" t="s">
        <v>125</v>
      </c>
      <c r="N158" s="2" t="s">
        <v>144</v>
      </c>
    </row>
    <row r="159" customFormat="false" ht="15" hidden="false" customHeight="false" outlineLevel="0" collapsed="false">
      <c r="A159" s="5" t="n">
        <v>1158</v>
      </c>
      <c r="B159" s="5" t="s">
        <v>154</v>
      </c>
      <c r="C159" s="5" t="s">
        <v>50</v>
      </c>
      <c r="D159" s="5" t="s">
        <v>16</v>
      </c>
      <c r="E159" s="5" t="s">
        <v>40</v>
      </c>
      <c r="F159" s="5" t="s">
        <v>56</v>
      </c>
      <c r="G159" s="5" t="s">
        <v>57</v>
      </c>
      <c r="H159" s="6" t="n">
        <v>25000</v>
      </c>
      <c r="I159" s="5" t="n">
        <v>2</v>
      </c>
      <c r="J159" s="6" t="n">
        <v>53000</v>
      </c>
      <c r="K159" s="6" t="n">
        <v>54000</v>
      </c>
      <c r="L159" s="7" t="n">
        <v>0.981481481481482</v>
      </c>
      <c r="M159" s="5" t="s">
        <v>125</v>
      </c>
      <c r="N159" s="5" t="s">
        <v>144</v>
      </c>
    </row>
    <row r="160" customFormat="false" ht="15" hidden="false" customHeight="false" outlineLevel="0" collapsed="false">
      <c r="A160" s="2" t="n">
        <v>1159</v>
      </c>
      <c r="B160" s="2" t="s">
        <v>155</v>
      </c>
      <c r="C160" s="2" t="s">
        <v>51</v>
      </c>
      <c r="D160" s="2" t="s">
        <v>30</v>
      </c>
      <c r="E160" s="2" t="s">
        <v>17</v>
      </c>
      <c r="F160" s="2" t="s">
        <v>26</v>
      </c>
      <c r="G160" s="2" t="s">
        <v>27</v>
      </c>
      <c r="H160" s="3" t="n">
        <v>15000</v>
      </c>
      <c r="I160" s="2" t="n">
        <v>4</v>
      </c>
      <c r="J160" s="3" t="n">
        <v>58800</v>
      </c>
      <c r="K160" s="3" t="n">
        <v>60600</v>
      </c>
      <c r="L160" s="4" t="n">
        <v>0.97029702970297</v>
      </c>
      <c r="M160" s="2" t="s">
        <v>125</v>
      </c>
      <c r="N160" s="2" t="s">
        <v>144</v>
      </c>
    </row>
    <row r="161" customFormat="false" ht="15" hidden="false" customHeight="false" outlineLevel="0" collapsed="false">
      <c r="A161" s="5" t="n">
        <v>1160</v>
      </c>
      <c r="B161" s="5" t="s">
        <v>156</v>
      </c>
      <c r="C161" s="5" t="s">
        <v>51</v>
      </c>
      <c r="D161" s="5" t="s">
        <v>30</v>
      </c>
      <c r="E161" s="5" t="s">
        <v>17</v>
      </c>
      <c r="F161" s="5" t="s">
        <v>44</v>
      </c>
      <c r="G161" s="5" t="s">
        <v>19</v>
      </c>
      <c r="H161" s="6" t="n">
        <v>18000</v>
      </c>
      <c r="I161" s="5" t="n">
        <v>5</v>
      </c>
      <c r="J161" s="6" t="n">
        <v>99000</v>
      </c>
      <c r="K161" s="6" t="n">
        <v>81900</v>
      </c>
      <c r="L161" s="7" t="n">
        <v>1.20879120879121</v>
      </c>
      <c r="M161" s="5" t="s">
        <v>125</v>
      </c>
      <c r="N161" s="5" t="s">
        <v>144</v>
      </c>
    </row>
    <row r="162" customFormat="false" ht="15" hidden="false" customHeight="false" outlineLevel="0" collapsed="false">
      <c r="A162" s="2" t="n">
        <v>1161</v>
      </c>
      <c r="B162" s="2" t="s">
        <v>147</v>
      </c>
      <c r="C162" s="2" t="s">
        <v>51</v>
      </c>
      <c r="D162" s="2" t="s">
        <v>30</v>
      </c>
      <c r="E162" s="2" t="s">
        <v>17</v>
      </c>
      <c r="F162" s="2" t="s">
        <v>36</v>
      </c>
      <c r="G162" s="2" t="s">
        <v>24</v>
      </c>
      <c r="H162" s="3" t="n">
        <v>8000</v>
      </c>
      <c r="I162" s="2" t="n">
        <v>10</v>
      </c>
      <c r="J162" s="3" t="n">
        <v>85600</v>
      </c>
      <c r="K162" s="3" t="n">
        <v>80800</v>
      </c>
      <c r="L162" s="4" t="n">
        <v>1.05940594059406</v>
      </c>
      <c r="M162" s="2" t="s">
        <v>125</v>
      </c>
      <c r="N162" s="2" t="s">
        <v>144</v>
      </c>
    </row>
    <row r="163" customFormat="false" ht="15" hidden="false" customHeight="false" outlineLevel="0" collapsed="false">
      <c r="A163" s="5" t="n">
        <v>1162</v>
      </c>
      <c r="B163" s="5" t="s">
        <v>157</v>
      </c>
      <c r="C163" s="5" t="s">
        <v>15</v>
      </c>
      <c r="D163" s="5" t="s">
        <v>16</v>
      </c>
      <c r="E163" s="5" t="s">
        <v>17</v>
      </c>
      <c r="F163" s="5" t="s">
        <v>18</v>
      </c>
      <c r="G163" s="5" t="s">
        <v>19</v>
      </c>
      <c r="H163" s="6" t="n">
        <v>12000</v>
      </c>
      <c r="I163" s="5" t="n">
        <v>8</v>
      </c>
      <c r="J163" s="6" t="n">
        <v>101760</v>
      </c>
      <c r="K163" s="6" t="n">
        <v>99840</v>
      </c>
      <c r="L163" s="7" t="n">
        <v>1.01923076923077</v>
      </c>
      <c r="M163" s="5" t="s">
        <v>125</v>
      </c>
      <c r="N163" s="5" t="s">
        <v>158</v>
      </c>
    </row>
    <row r="164" customFormat="false" ht="15" hidden="false" customHeight="false" outlineLevel="0" collapsed="false">
      <c r="A164" s="2" t="n">
        <v>1163</v>
      </c>
      <c r="B164" s="2" t="s">
        <v>159</v>
      </c>
      <c r="C164" s="2" t="s">
        <v>15</v>
      </c>
      <c r="D164" s="2" t="s">
        <v>16</v>
      </c>
      <c r="E164" s="2" t="s">
        <v>17</v>
      </c>
      <c r="F164" s="2" t="s">
        <v>26</v>
      </c>
      <c r="G164" s="2" t="s">
        <v>27</v>
      </c>
      <c r="H164" s="3" t="n">
        <v>15000</v>
      </c>
      <c r="I164" s="2" t="n">
        <v>9</v>
      </c>
      <c r="J164" s="3" t="n">
        <v>135000</v>
      </c>
      <c r="K164" s="3" t="n">
        <v>124200</v>
      </c>
      <c r="L164" s="4" t="n">
        <v>1.08695652173913</v>
      </c>
      <c r="M164" s="2" t="s">
        <v>125</v>
      </c>
      <c r="N164" s="2" t="s">
        <v>158</v>
      </c>
    </row>
    <row r="165" customFormat="false" ht="15" hidden="false" customHeight="false" outlineLevel="0" collapsed="false">
      <c r="A165" s="5" t="n">
        <v>1164</v>
      </c>
      <c r="B165" s="5" t="s">
        <v>160</v>
      </c>
      <c r="C165" s="5" t="s">
        <v>29</v>
      </c>
      <c r="D165" s="5" t="s">
        <v>30</v>
      </c>
      <c r="E165" s="5" t="s">
        <v>31</v>
      </c>
      <c r="F165" s="5" t="s">
        <v>23</v>
      </c>
      <c r="G165" s="5" t="s">
        <v>24</v>
      </c>
      <c r="H165" s="6" t="n">
        <v>20000</v>
      </c>
      <c r="I165" s="5" t="n">
        <v>6</v>
      </c>
      <c r="J165" s="6" t="n">
        <v>123600</v>
      </c>
      <c r="K165" s="6" t="n">
        <v>109200</v>
      </c>
      <c r="L165" s="7" t="n">
        <v>1.13186813186813</v>
      </c>
      <c r="M165" s="5" t="s">
        <v>125</v>
      </c>
      <c r="N165" s="5" t="s">
        <v>158</v>
      </c>
    </row>
    <row r="166" customFormat="false" ht="15" hidden="false" customHeight="false" outlineLevel="0" collapsed="false">
      <c r="A166" s="2" t="n">
        <v>1165</v>
      </c>
      <c r="B166" s="2" t="s">
        <v>161</v>
      </c>
      <c r="C166" s="2" t="s">
        <v>29</v>
      </c>
      <c r="D166" s="2" t="s">
        <v>30</v>
      </c>
      <c r="E166" s="2" t="s">
        <v>31</v>
      </c>
      <c r="F166" s="2" t="s">
        <v>23</v>
      </c>
      <c r="G166" s="2" t="s">
        <v>24</v>
      </c>
      <c r="H166" s="3" t="n">
        <v>20000</v>
      </c>
      <c r="I166" s="2" t="n">
        <v>10</v>
      </c>
      <c r="J166" s="3" t="n">
        <v>206000</v>
      </c>
      <c r="K166" s="3" t="n">
        <v>180000</v>
      </c>
      <c r="L166" s="4" t="n">
        <v>1.14444444444444</v>
      </c>
      <c r="M166" s="2" t="s">
        <v>125</v>
      </c>
      <c r="N166" s="2" t="s">
        <v>158</v>
      </c>
    </row>
    <row r="167" customFormat="false" ht="15" hidden="false" customHeight="false" outlineLevel="0" collapsed="false">
      <c r="A167" s="5" t="n">
        <v>1166</v>
      </c>
      <c r="B167" s="5" t="s">
        <v>162</v>
      </c>
      <c r="C167" s="5" t="s">
        <v>34</v>
      </c>
      <c r="D167" s="5" t="s">
        <v>35</v>
      </c>
      <c r="E167" s="5" t="s">
        <v>17</v>
      </c>
      <c r="F167" s="5" t="s">
        <v>36</v>
      </c>
      <c r="G167" s="5" t="s">
        <v>24</v>
      </c>
      <c r="H167" s="6" t="n">
        <v>8000</v>
      </c>
      <c r="I167" s="5" t="n">
        <v>10</v>
      </c>
      <c r="J167" s="6" t="n">
        <v>68800</v>
      </c>
      <c r="K167" s="6" t="n">
        <v>84000</v>
      </c>
      <c r="L167" s="7" t="n">
        <v>0.819047619047619</v>
      </c>
      <c r="M167" s="5" t="s">
        <v>125</v>
      </c>
      <c r="N167" s="5" t="s">
        <v>158</v>
      </c>
    </row>
    <row r="168" customFormat="false" ht="15" hidden="false" customHeight="false" outlineLevel="0" collapsed="false">
      <c r="A168" s="2" t="n">
        <v>1167</v>
      </c>
      <c r="B168" s="2" t="s">
        <v>163</v>
      </c>
      <c r="C168" s="2" t="s">
        <v>34</v>
      </c>
      <c r="D168" s="2" t="s">
        <v>35</v>
      </c>
      <c r="E168" s="2" t="s">
        <v>17</v>
      </c>
      <c r="F168" s="2" t="s">
        <v>26</v>
      </c>
      <c r="G168" s="2" t="s">
        <v>27</v>
      </c>
      <c r="H168" s="3" t="n">
        <v>15000</v>
      </c>
      <c r="I168" s="2" t="n">
        <v>8</v>
      </c>
      <c r="J168" s="3" t="n">
        <v>134400</v>
      </c>
      <c r="K168" s="3" t="n">
        <v>112800</v>
      </c>
      <c r="L168" s="4" t="n">
        <v>1.19148936170213</v>
      </c>
      <c r="M168" s="2" t="s">
        <v>125</v>
      </c>
      <c r="N168" s="2" t="s">
        <v>158</v>
      </c>
    </row>
    <row r="169" customFormat="false" ht="15" hidden="false" customHeight="false" outlineLevel="0" collapsed="false">
      <c r="A169" s="5" t="n">
        <v>1168</v>
      </c>
      <c r="B169" s="5" t="s">
        <v>164</v>
      </c>
      <c r="C169" s="5" t="s">
        <v>34</v>
      </c>
      <c r="D169" s="5" t="s">
        <v>35</v>
      </c>
      <c r="E169" s="5" t="s">
        <v>17</v>
      </c>
      <c r="F169" s="5" t="s">
        <v>56</v>
      </c>
      <c r="G169" s="5" t="s">
        <v>57</v>
      </c>
      <c r="H169" s="6" t="n">
        <v>25000</v>
      </c>
      <c r="I169" s="5" t="n">
        <v>8</v>
      </c>
      <c r="J169" s="6" t="n">
        <v>228000</v>
      </c>
      <c r="K169" s="6" t="n">
        <v>198000</v>
      </c>
      <c r="L169" s="7" t="n">
        <v>1.15151515151515</v>
      </c>
      <c r="M169" s="5" t="s">
        <v>125</v>
      </c>
      <c r="N169" s="5" t="s">
        <v>158</v>
      </c>
    </row>
    <row r="170" customFormat="false" ht="15" hidden="false" customHeight="false" outlineLevel="0" collapsed="false">
      <c r="A170" s="2" t="n">
        <v>1169</v>
      </c>
      <c r="B170" s="2" t="s">
        <v>165</v>
      </c>
      <c r="C170" s="2" t="s">
        <v>38</v>
      </c>
      <c r="D170" s="2" t="s">
        <v>39</v>
      </c>
      <c r="E170" s="2" t="s">
        <v>40</v>
      </c>
      <c r="F170" s="2" t="s">
        <v>36</v>
      </c>
      <c r="G170" s="2" t="s">
        <v>24</v>
      </c>
      <c r="H170" s="3" t="n">
        <v>8000</v>
      </c>
      <c r="I170" s="2" t="n">
        <v>2</v>
      </c>
      <c r="J170" s="3" t="n">
        <v>17760</v>
      </c>
      <c r="K170" s="3" t="n">
        <v>15520</v>
      </c>
      <c r="L170" s="4" t="n">
        <v>1.14432989690722</v>
      </c>
      <c r="M170" s="2" t="s">
        <v>125</v>
      </c>
      <c r="N170" s="2" t="s">
        <v>158</v>
      </c>
    </row>
    <row r="171" customFormat="false" ht="15" hidden="false" customHeight="false" outlineLevel="0" collapsed="false">
      <c r="A171" s="5" t="n">
        <v>1170</v>
      </c>
      <c r="B171" s="5" t="s">
        <v>161</v>
      </c>
      <c r="C171" s="5" t="s">
        <v>38</v>
      </c>
      <c r="D171" s="5" t="s">
        <v>39</v>
      </c>
      <c r="E171" s="5" t="s">
        <v>40</v>
      </c>
      <c r="F171" s="5" t="s">
        <v>56</v>
      </c>
      <c r="G171" s="5" t="s">
        <v>57</v>
      </c>
      <c r="H171" s="6" t="n">
        <v>25000</v>
      </c>
      <c r="I171" s="5" t="n">
        <v>5</v>
      </c>
      <c r="J171" s="6" t="n">
        <v>131250</v>
      </c>
      <c r="K171" s="6" t="n">
        <v>122500</v>
      </c>
      <c r="L171" s="7" t="n">
        <v>1.07142857142857</v>
      </c>
      <c r="M171" s="5" t="s">
        <v>125</v>
      </c>
      <c r="N171" s="5" t="s">
        <v>158</v>
      </c>
    </row>
    <row r="172" customFormat="false" ht="15" hidden="false" customHeight="false" outlineLevel="0" collapsed="false">
      <c r="A172" s="2" t="n">
        <v>1171</v>
      </c>
      <c r="B172" s="2" t="s">
        <v>166</v>
      </c>
      <c r="C172" s="2" t="s">
        <v>43</v>
      </c>
      <c r="D172" s="2" t="s">
        <v>16</v>
      </c>
      <c r="E172" s="2" t="s">
        <v>31</v>
      </c>
      <c r="F172" s="2" t="s">
        <v>18</v>
      </c>
      <c r="G172" s="2" t="s">
        <v>19</v>
      </c>
      <c r="H172" s="3" t="n">
        <v>12000</v>
      </c>
      <c r="I172" s="2" t="n">
        <v>8</v>
      </c>
      <c r="J172" s="3" t="n">
        <v>84480</v>
      </c>
      <c r="K172" s="3" t="n">
        <v>91200</v>
      </c>
      <c r="L172" s="4" t="n">
        <v>0.926315789473684</v>
      </c>
      <c r="M172" s="2" t="s">
        <v>125</v>
      </c>
      <c r="N172" s="2" t="s">
        <v>158</v>
      </c>
    </row>
    <row r="173" customFormat="false" ht="15" hidden="false" customHeight="false" outlineLevel="0" collapsed="false">
      <c r="A173" s="5" t="n">
        <v>1172</v>
      </c>
      <c r="B173" s="5" t="s">
        <v>167</v>
      </c>
      <c r="C173" s="5" t="s">
        <v>43</v>
      </c>
      <c r="D173" s="5" t="s">
        <v>16</v>
      </c>
      <c r="E173" s="5" t="s">
        <v>31</v>
      </c>
      <c r="F173" s="5" t="s">
        <v>56</v>
      </c>
      <c r="G173" s="5" t="s">
        <v>57</v>
      </c>
      <c r="H173" s="6" t="n">
        <v>25000</v>
      </c>
      <c r="I173" s="5" t="n">
        <v>9</v>
      </c>
      <c r="J173" s="6" t="n">
        <v>247500</v>
      </c>
      <c r="K173" s="6" t="n">
        <v>202500</v>
      </c>
      <c r="L173" s="7" t="n">
        <v>1.22222222222222</v>
      </c>
      <c r="M173" s="5" t="s">
        <v>125</v>
      </c>
      <c r="N173" s="5" t="s">
        <v>158</v>
      </c>
    </row>
    <row r="174" customFormat="false" ht="15" hidden="false" customHeight="false" outlineLevel="0" collapsed="false">
      <c r="A174" s="2" t="n">
        <v>1173</v>
      </c>
      <c r="B174" s="2" t="s">
        <v>168</v>
      </c>
      <c r="C174" s="2" t="s">
        <v>43</v>
      </c>
      <c r="D174" s="2" t="s">
        <v>16</v>
      </c>
      <c r="E174" s="2" t="s">
        <v>31</v>
      </c>
      <c r="F174" s="2" t="s">
        <v>26</v>
      </c>
      <c r="G174" s="2" t="s">
        <v>27</v>
      </c>
      <c r="H174" s="3" t="n">
        <v>15000</v>
      </c>
      <c r="I174" s="2" t="n">
        <v>8</v>
      </c>
      <c r="J174" s="3" t="n">
        <v>116400</v>
      </c>
      <c r="K174" s="3" t="n">
        <v>112800</v>
      </c>
      <c r="L174" s="4" t="n">
        <v>1.03191489361702</v>
      </c>
      <c r="M174" s="2" t="s">
        <v>125</v>
      </c>
      <c r="N174" s="2" t="s">
        <v>158</v>
      </c>
    </row>
    <row r="175" customFormat="false" ht="15" hidden="false" customHeight="false" outlineLevel="0" collapsed="false">
      <c r="A175" s="5" t="n">
        <v>1174</v>
      </c>
      <c r="B175" s="5" t="s">
        <v>169</v>
      </c>
      <c r="C175" s="5" t="s">
        <v>46</v>
      </c>
      <c r="D175" s="5" t="s">
        <v>30</v>
      </c>
      <c r="E175" s="5" t="s">
        <v>40</v>
      </c>
      <c r="F175" s="5" t="s">
        <v>56</v>
      </c>
      <c r="G175" s="5" t="s">
        <v>57</v>
      </c>
      <c r="H175" s="6" t="n">
        <v>25000</v>
      </c>
      <c r="I175" s="5" t="n">
        <v>8</v>
      </c>
      <c r="J175" s="6" t="n">
        <v>216000</v>
      </c>
      <c r="K175" s="6" t="n">
        <v>188000</v>
      </c>
      <c r="L175" s="7" t="n">
        <v>1.14893617021277</v>
      </c>
      <c r="M175" s="5" t="s">
        <v>125</v>
      </c>
      <c r="N175" s="5" t="s">
        <v>158</v>
      </c>
    </row>
    <row r="176" customFormat="false" ht="15" hidden="false" customHeight="false" outlineLevel="0" collapsed="false">
      <c r="A176" s="2" t="n">
        <v>1175</v>
      </c>
      <c r="B176" s="2" t="s">
        <v>166</v>
      </c>
      <c r="C176" s="2" t="s">
        <v>46</v>
      </c>
      <c r="D176" s="2" t="s">
        <v>30</v>
      </c>
      <c r="E176" s="2" t="s">
        <v>40</v>
      </c>
      <c r="F176" s="2" t="s">
        <v>44</v>
      </c>
      <c r="G176" s="2" t="s">
        <v>19</v>
      </c>
      <c r="H176" s="3" t="n">
        <v>18000</v>
      </c>
      <c r="I176" s="2" t="n">
        <v>5</v>
      </c>
      <c r="J176" s="3" t="n">
        <v>88200</v>
      </c>
      <c r="K176" s="3" t="n">
        <v>93600</v>
      </c>
      <c r="L176" s="4" t="n">
        <v>0.942307692307692</v>
      </c>
      <c r="M176" s="2" t="s">
        <v>125</v>
      </c>
      <c r="N176" s="2" t="s">
        <v>158</v>
      </c>
    </row>
    <row r="177" customFormat="false" ht="15" hidden="false" customHeight="false" outlineLevel="0" collapsed="false">
      <c r="A177" s="5" t="n">
        <v>1176</v>
      </c>
      <c r="B177" s="5" t="s">
        <v>170</v>
      </c>
      <c r="C177" s="5" t="s">
        <v>46</v>
      </c>
      <c r="D177" s="5" t="s">
        <v>30</v>
      </c>
      <c r="E177" s="5" t="s">
        <v>40</v>
      </c>
      <c r="F177" s="5" t="s">
        <v>18</v>
      </c>
      <c r="G177" s="5" t="s">
        <v>19</v>
      </c>
      <c r="H177" s="6" t="n">
        <v>12000</v>
      </c>
      <c r="I177" s="5" t="n">
        <v>10</v>
      </c>
      <c r="J177" s="6" t="n">
        <v>130800</v>
      </c>
      <c r="K177" s="6" t="n">
        <v>124800</v>
      </c>
      <c r="L177" s="7" t="n">
        <v>1.04807692307692</v>
      </c>
      <c r="M177" s="5" t="s">
        <v>125</v>
      </c>
      <c r="N177" s="5" t="s">
        <v>158</v>
      </c>
    </row>
    <row r="178" customFormat="false" ht="15" hidden="false" customHeight="false" outlineLevel="0" collapsed="false">
      <c r="A178" s="2" t="n">
        <v>1177</v>
      </c>
      <c r="B178" s="2" t="s">
        <v>171</v>
      </c>
      <c r="C178" s="2" t="s">
        <v>47</v>
      </c>
      <c r="D178" s="2" t="s">
        <v>35</v>
      </c>
      <c r="E178" s="2" t="s">
        <v>17</v>
      </c>
      <c r="F178" s="2" t="s">
        <v>18</v>
      </c>
      <c r="G178" s="2" t="s">
        <v>19</v>
      </c>
      <c r="H178" s="3" t="n">
        <v>12000</v>
      </c>
      <c r="I178" s="2" t="n">
        <v>9</v>
      </c>
      <c r="J178" s="3" t="n">
        <v>104760</v>
      </c>
      <c r="K178" s="3" t="n">
        <v>101520</v>
      </c>
      <c r="L178" s="4" t="n">
        <v>1.03191489361702</v>
      </c>
      <c r="M178" s="2" t="s">
        <v>125</v>
      </c>
      <c r="N178" s="2" t="s">
        <v>158</v>
      </c>
    </row>
    <row r="179" customFormat="false" ht="15" hidden="false" customHeight="false" outlineLevel="0" collapsed="false">
      <c r="A179" s="5" t="n">
        <v>1178</v>
      </c>
      <c r="B179" s="5" t="s">
        <v>172</v>
      </c>
      <c r="C179" s="5" t="s">
        <v>47</v>
      </c>
      <c r="D179" s="5" t="s">
        <v>35</v>
      </c>
      <c r="E179" s="5" t="s">
        <v>17</v>
      </c>
      <c r="F179" s="5" t="s">
        <v>18</v>
      </c>
      <c r="G179" s="5" t="s">
        <v>19</v>
      </c>
      <c r="H179" s="6" t="n">
        <v>12000</v>
      </c>
      <c r="I179" s="5" t="n">
        <v>8</v>
      </c>
      <c r="J179" s="6" t="n">
        <v>108480</v>
      </c>
      <c r="K179" s="6" t="n">
        <v>98880</v>
      </c>
      <c r="L179" s="7" t="n">
        <v>1.09708737864078</v>
      </c>
      <c r="M179" s="5" t="s">
        <v>125</v>
      </c>
      <c r="N179" s="5" t="s">
        <v>158</v>
      </c>
    </row>
    <row r="180" customFormat="false" ht="15" hidden="false" customHeight="false" outlineLevel="0" collapsed="false">
      <c r="A180" s="2" t="n">
        <v>1179</v>
      </c>
      <c r="B180" s="2" t="s">
        <v>171</v>
      </c>
      <c r="C180" s="2" t="s">
        <v>47</v>
      </c>
      <c r="D180" s="2" t="s">
        <v>35</v>
      </c>
      <c r="E180" s="2" t="s">
        <v>17</v>
      </c>
      <c r="F180" s="2" t="s">
        <v>56</v>
      </c>
      <c r="G180" s="2" t="s">
        <v>57</v>
      </c>
      <c r="H180" s="3" t="n">
        <v>25000</v>
      </c>
      <c r="I180" s="2" t="n">
        <v>5</v>
      </c>
      <c r="J180" s="3" t="n">
        <v>125000</v>
      </c>
      <c r="K180" s="3" t="n">
        <v>118750</v>
      </c>
      <c r="L180" s="4" t="n">
        <v>1.05263157894737</v>
      </c>
      <c r="M180" s="2" t="s">
        <v>125</v>
      </c>
      <c r="N180" s="2" t="s">
        <v>158</v>
      </c>
    </row>
    <row r="181" customFormat="false" ht="15" hidden="false" customHeight="false" outlineLevel="0" collapsed="false">
      <c r="A181" s="5" t="n">
        <v>1180</v>
      </c>
      <c r="B181" s="5" t="s">
        <v>173</v>
      </c>
      <c r="C181" s="5" t="s">
        <v>49</v>
      </c>
      <c r="D181" s="5" t="s">
        <v>39</v>
      </c>
      <c r="E181" s="5" t="s">
        <v>31</v>
      </c>
      <c r="F181" s="5" t="s">
        <v>56</v>
      </c>
      <c r="G181" s="5" t="s">
        <v>57</v>
      </c>
      <c r="H181" s="6" t="n">
        <v>25000</v>
      </c>
      <c r="I181" s="5" t="n">
        <v>4</v>
      </c>
      <c r="J181" s="6" t="n">
        <v>99000</v>
      </c>
      <c r="K181" s="6" t="n">
        <v>93000</v>
      </c>
      <c r="L181" s="7" t="n">
        <v>1.06451612903226</v>
      </c>
      <c r="M181" s="5" t="s">
        <v>125</v>
      </c>
      <c r="N181" s="5" t="s">
        <v>158</v>
      </c>
    </row>
    <row r="182" customFormat="false" ht="15" hidden="false" customHeight="false" outlineLevel="0" collapsed="false">
      <c r="A182" s="2" t="n">
        <v>1181</v>
      </c>
      <c r="B182" s="2" t="s">
        <v>174</v>
      </c>
      <c r="C182" s="2" t="s">
        <v>49</v>
      </c>
      <c r="D182" s="2" t="s">
        <v>39</v>
      </c>
      <c r="E182" s="2" t="s">
        <v>31</v>
      </c>
      <c r="F182" s="2" t="s">
        <v>26</v>
      </c>
      <c r="G182" s="2" t="s">
        <v>27</v>
      </c>
      <c r="H182" s="3" t="n">
        <v>15000</v>
      </c>
      <c r="I182" s="2" t="n">
        <v>9</v>
      </c>
      <c r="J182" s="3" t="n">
        <v>144450</v>
      </c>
      <c r="K182" s="3" t="n">
        <v>125550</v>
      </c>
      <c r="L182" s="4" t="n">
        <v>1.1505376344086</v>
      </c>
      <c r="M182" s="2" t="s">
        <v>125</v>
      </c>
      <c r="N182" s="2" t="s">
        <v>158</v>
      </c>
    </row>
    <row r="183" customFormat="false" ht="15" hidden="false" customHeight="false" outlineLevel="0" collapsed="false">
      <c r="A183" s="5" t="n">
        <v>1182</v>
      </c>
      <c r="B183" s="5" t="s">
        <v>171</v>
      </c>
      <c r="C183" s="5" t="s">
        <v>50</v>
      </c>
      <c r="D183" s="5" t="s">
        <v>16</v>
      </c>
      <c r="E183" s="5" t="s">
        <v>40</v>
      </c>
      <c r="F183" s="5" t="s">
        <v>56</v>
      </c>
      <c r="G183" s="5" t="s">
        <v>57</v>
      </c>
      <c r="H183" s="6" t="n">
        <v>25000</v>
      </c>
      <c r="I183" s="5" t="n">
        <v>6</v>
      </c>
      <c r="J183" s="6" t="n">
        <v>169500</v>
      </c>
      <c r="K183" s="6" t="n">
        <v>150000</v>
      </c>
      <c r="L183" s="7" t="n">
        <v>1.13</v>
      </c>
      <c r="M183" s="5" t="s">
        <v>125</v>
      </c>
      <c r="N183" s="5" t="s">
        <v>158</v>
      </c>
    </row>
    <row r="184" customFormat="false" ht="15" hidden="false" customHeight="false" outlineLevel="0" collapsed="false">
      <c r="A184" s="2" t="n">
        <v>1183</v>
      </c>
      <c r="B184" s="2" t="s">
        <v>163</v>
      </c>
      <c r="C184" s="2" t="s">
        <v>50</v>
      </c>
      <c r="D184" s="2" t="s">
        <v>16</v>
      </c>
      <c r="E184" s="2" t="s">
        <v>40</v>
      </c>
      <c r="F184" s="2" t="s">
        <v>18</v>
      </c>
      <c r="G184" s="2" t="s">
        <v>19</v>
      </c>
      <c r="H184" s="3" t="n">
        <v>12000</v>
      </c>
      <c r="I184" s="2" t="n">
        <v>5</v>
      </c>
      <c r="J184" s="3" t="n">
        <v>64200</v>
      </c>
      <c r="K184" s="3" t="n">
        <v>64200</v>
      </c>
      <c r="L184" s="4" t="n">
        <v>1</v>
      </c>
      <c r="M184" s="2" t="s">
        <v>125</v>
      </c>
      <c r="N184" s="2" t="s">
        <v>158</v>
      </c>
    </row>
    <row r="185" customFormat="false" ht="15" hidden="false" customHeight="false" outlineLevel="0" collapsed="false">
      <c r="A185" s="5" t="n">
        <v>1184</v>
      </c>
      <c r="B185" s="5" t="s">
        <v>175</v>
      </c>
      <c r="C185" s="5" t="s">
        <v>51</v>
      </c>
      <c r="D185" s="5" t="s">
        <v>30</v>
      </c>
      <c r="E185" s="5" t="s">
        <v>17</v>
      </c>
      <c r="F185" s="5" t="s">
        <v>56</v>
      </c>
      <c r="G185" s="5" t="s">
        <v>57</v>
      </c>
      <c r="H185" s="6" t="n">
        <v>25000</v>
      </c>
      <c r="I185" s="5" t="n">
        <v>3</v>
      </c>
      <c r="J185" s="6" t="n">
        <v>73500</v>
      </c>
      <c r="K185" s="6" t="n">
        <v>75000</v>
      </c>
      <c r="L185" s="7" t="n">
        <v>0.98</v>
      </c>
      <c r="M185" s="5" t="s">
        <v>125</v>
      </c>
      <c r="N185" s="5" t="s">
        <v>158</v>
      </c>
    </row>
    <row r="186" customFormat="false" ht="15" hidden="false" customHeight="false" outlineLevel="0" collapsed="false">
      <c r="A186" s="2" t="n">
        <v>1185</v>
      </c>
      <c r="B186" s="2" t="s">
        <v>167</v>
      </c>
      <c r="C186" s="2" t="s">
        <v>51</v>
      </c>
      <c r="D186" s="2" t="s">
        <v>30</v>
      </c>
      <c r="E186" s="2" t="s">
        <v>17</v>
      </c>
      <c r="F186" s="2" t="s">
        <v>26</v>
      </c>
      <c r="G186" s="2" t="s">
        <v>27</v>
      </c>
      <c r="H186" s="3" t="n">
        <v>15000</v>
      </c>
      <c r="I186" s="2" t="n">
        <v>9</v>
      </c>
      <c r="J186" s="3" t="n">
        <v>129600</v>
      </c>
      <c r="K186" s="3" t="n">
        <v>147150</v>
      </c>
      <c r="L186" s="4" t="n">
        <v>0.880733944954129</v>
      </c>
      <c r="M186" s="2" t="s">
        <v>125</v>
      </c>
      <c r="N186" s="2" t="s">
        <v>158</v>
      </c>
    </row>
    <row r="187" customFormat="false" ht="15" hidden="false" customHeight="false" outlineLevel="0" collapsed="false">
      <c r="A187" s="5" t="n">
        <v>1186</v>
      </c>
      <c r="B187" s="5" t="s">
        <v>161</v>
      </c>
      <c r="C187" s="5" t="s">
        <v>51</v>
      </c>
      <c r="D187" s="5" t="s">
        <v>30</v>
      </c>
      <c r="E187" s="5" t="s">
        <v>17</v>
      </c>
      <c r="F187" s="5" t="s">
        <v>44</v>
      </c>
      <c r="G187" s="5" t="s">
        <v>19</v>
      </c>
      <c r="H187" s="6" t="n">
        <v>18000</v>
      </c>
      <c r="I187" s="5" t="n">
        <v>4</v>
      </c>
      <c r="J187" s="6" t="n">
        <v>73440</v>
      </c>
      <c r="K187" s="6" t="n">
        <v>68400</v>
      </c>
      <c r="L187" s="7" t="n">
        <v>1.07368421052632</v>
      </c>
      <c r="M187" s="5" t="s">
        <v>125</v>
      </c>
      <c r="N187" s="5" t="s">
        <v>158</v>
      </c>
    </row>
    <row r="188" customFormat="false" ht="15" hidden="false" customHeight="false" outlineLevel="0" collapsed="false">
      <c r="A188" s="2" t="n">
        <v>1187</v>
      </c>
      <c r="B188" s="2" t="s">
        <v>176</v>
      </c>
      <c r="C188" s="2" t="s">
        <v>15</v>
      </c>
      <c r="D188" s="2" t="s">
        <v>16</v>
      </c>
      <c r="E188" s="2" t="s">
        <v>17</v>
      </c>
      <c r="F188" s="2" t="s">
        <v>18</v>
      </c>
      <c r="G188" s="2" t="s">
        <v>19</v>
      </c>
      <c r="H188" s="3" t="n">
        <v>12000</v>
      </c>
      <c r="I188" s="2" t="n">
        <v>6</v>
      </c>
      <c r="J188" s="3" t="n">
        <v>77040</v>
      </c>
      <c r="K188" s="3" t="n">
        <v>74880</v>
      </c>
      <c r="L188" s="4" t="n">
        <v>1.02884615384615</v>
      </c>
      <c r="M188" s="2" t="s">
        <v>177</v>
      </c>
      <c r="N188" s="2" t="s">
        <v>178</v>
      </c>
    </row>
    <row r="189" customFormat="false" ht="15" hidden="false" customHeight="false" outlineLevel="0" collapsed="false">
      <c r="A189" s="5" t="n">
        <v>1188</v>
      </c>
      <c r="B189" s="5" t="s">
        <v>179</v>
      </c>
      <c r="C189" s="5" t="s">
        <v>15</v>
      </c>
      <c r="D189" s="5" t="s">
        <v>16</v>
      </c>
      <c r="E189" s="5" t="s">
        <v>17</v>
      </c>
      <c r="F189" s="5" t="s">
        <v>56</v>
      </c>
      <c r="G189" s="5" t="s">
        <v>57</v>
      </c>
      <c r="H189" s="6" t="n">
        <v>25000</v>
      </c>
      <c r="I189" s="5" t="n">
        <v>7</v>
      </c>
      <c r="J189" s="6" t="n">
        <v>201250</v>
      </c>
      <c r="K189" s="6" t="n">
        <v>185500</v>
      </c>
      <c r="L189" s="7" t="n">
        <v>1.08490566037736</v>
      </c>
      <c r="M189" s="5" t="s">
        <v>177</v>
      </c>
      <c r="N189" s="5" t="s">
        <v>178</v>
      </c>
    </row>
    <row r="190" customFormat="false" ht="15" hidden="false" customHeight="false" outlineLevel="0" collapsed="false">
      <c r="A190" s="2" t="n">
        <v>1189</v>
      </c>
      <c r="B190" s="2" t="s">
        <v>180</v>
      </c>
      <c r="C190" s="2" t="s">
        <v>29</v>
      </c>
      <c r="D190" s="2" t="s">
        <v>30</v>
      </c>
      <c r="E190" s="2" t="s">
        <v>31</v>
      </c>
      <c r="F190" s="2" t="s">
        <v>56</v>
      </c>
      <c r="G190" s="2" t="s">
        <v>57</v>
      </c>
      <c r="H190" s="3" t="n">
        <v>25000</v>
      </c>
      <c r="I190" s="2" t="n">
        <v>1</v>
      </c>
      <c r="J190" s="3" t="n">
        <v>22250</v>
      </c>
      <c r="K190" s="3" t="n">
        <v>27250</v>
      </c>
      <c r="L190" s="4" t="n">
        <v>0.81651376146789</v>
      </c>
      <c r="M190" s="2" t="s">
        <v>177</v>
      </c>
      <c r="N190" s="2" t="s">
        <v>178</v>
      </c>
    </row>
    <row r="191" customFormat="false" ht="15" hidden="false" customHeight="false" outlineLevel="0" collapsed="false">
      <c r="A191" s="5" t="n">
        <v>1190</v>
      </c>
      <c r="B191" s="5" t="s">
        <v>181</v>
      </c>
      <c r="C191" s="5" t="s">
        <v>34</v>
      </c>
      <c r="D191" s="5" t="s">
        <v>35</v>
      </c>
      <c r="E191" s="5" t="s">
        <v>17</v>
      </c>
      <c r="F191" s="5" t="s">
        <v>56</v>
      </c>
      <c r="G191" s="5" t="s">
        <v>57</v>
      </c>
      <c r="H191" s="6" t="n">
        <v>25000</v>
      </c>
      <c r="I191" s="5" t="n">
        <v>2</v>
      </c>
      <c r="J191" s="6" t="n">
        <v>50500</v>
      </c>
      <c r="K191" s="6" t="n">
        <v>49500</v>
      </c>
      <c r="L191" s="7" t="n">
        <v>1.02020202020202</v>
      </c>
      <c r="M191" s="5" t="s">
        <v>177</v>
      </c>
      <c r="N191" s="5" t="s">
        <v>178</v>
      </c>
    </row>
    <row r="192" customFormat="false" ht="15" hidden="false" customHeight="false" outlineLevel="0" collapsed="false">
      <c r="A192" s="2" t="n">
        <v>1191</v>
      </c>
      <c r="B192" s="2" t="s">
        <v>182</v>
      </c>
      <c r="C192" s="2" t="s">
        <v>38</v>
      </c>
      <c r="D192" s="2" t="s">
        <v>39</v>
      </c>
      <c r="E192" s="2" t="s">
        <v>40</v>
      </c>
      <c r="F192" s="2" t="s">
        <v>56</v>
      </c>
      <c r="G192" s="2" t="s">
        <v>57</v>
      </c>
      <c r="H192" s="3" t="n">
        <v>25000</v>
      </c>
      <c r="I192" s="2" t="n">
        <v>3</v>
      </c>
      <c r="J192" s="3" t="n">
        <v>65250</v>
      </c>
      <c r="K192" s="3" t="n">
        <v>79500</v>
      </c>
      <c r="L192" s="4" t="n">
        <v>0.820754716981132</v>
      </c>
      <c r="M192" s="2" t="s">
        <v>177</v>
      </c>
      <c r="N192" s="2" t="s">
        <v>178</v>
      </c>
    </row>
    <row r="193" customFormat="false" ht="15" hidden="false" customHeight="false" outlineLevel="0" collapsed="false">
      <c r="A193" s="5" t="n">
        <v>1192</v>
      </c>
      <c r="B193" s="5" t="s">
        <v>183</v>
      </c>
      <c r="C193" s="5" t="s">
        <v>43</v>
      </c>
      <c r="D193" s="5" t="s">
        <v>16</v>
      </c>
      <c r="E193" s="5" t="s">
        <v>31</v>
      </c>
      <c r="F193" s="5" t="s">
        <v>26</v>
      </c>
      <c r="G193" s="5" t="s">
        <v>27</v>
      </c>
      <c r="H193" s="6" t="n">
        <v>15000</v>
      </c>
      <c r="I193" s="5" t="n">
        <v>7</v>
      </c>
      <c r="J193" s="6" t="n">
        <v>109200</v>
      </c>
      <c r="K193" s="6" t="n">
        <v>112350</v>
      </c>
      <c r="L193" s="7" t="n">
        <v>0.97196261682243</v>
      </c>
      <c r="M193" s="5" t="s">
        <v>177</v>
      </c>
      <c r="N193" s="5" t="s">
        <v>178</v>
      </c>
    </row>
    <row r="194" customFormat="false" ht="15" hidden="false" customHeight="false" outlineLevel="0" collapsed="false">
      <c r="A194" s="2" t="n">
        <v>1193</v>
      </c>
      <c r="B194" s="2" t="s">
        <v>184</v>
      </c>
      <c r="C194" s="2" t="s">
        <v>43</v>
      </c>
      <c r="D194" s="2" t="s">
        <v>16</v>
      </c>
      <c r="E194" s="2" t="s">
        <v>31</v>
      </c>
      <c r="F194" s="2" t="s">
        <v>23</v>
      </c>
      <c r="G194" s="2" t="s">
        <v>24</v>
      </c>
      <c r="H194" s="3" t="n">
        <v>20000</v>
      </c>
      <c r="I194" s="2" t="n">
        <v>9</v>
      </c>
      <c r="J194" s="3" t="n">
        <v>172800</v>
      </c>
      <c r="K194" s="3" t="n">
        <v>172800</v>
      </c>
      <c r="L194" s="4" t="n">
        <v>1</v>
      </c>
      <c r="M194" s="2" t="s">
        <v>177</v>
      </c>
      <c r="N194" s="2" t="s">
        <v>178</v>
      </c>
    </row>
    <row r="195" customFormat="false" ht="15" hidden="false" customHeight="false" outlineLevel="0" collapsed="false">
      <c r="A195" s="5" t="n">
        <v>1194</v>
      </c>
      <c r="B195" s="5" t="s">
        <v>185</v>
      </c>
      <c r="C195" s="5" t="s">
        <v>46</v>
      </c>
      <c r="D195" s="5" t="s">
        <v>30</v>
      </c>
      <c r="E195" s="5" t="s">
        <v>40</v>
      </c>
      <c r="F195" s="5" t="s">
        <v>26</v>
      </c>
      <c r="G195" s="5" t="s">
        <v>27</v>
      </c>
      <c r="H195" s="6" t="n">
        <v>15000</v>
      </c>
      <c r="I195" s="5" t="n">
        <v>1</v>
      </c>
      <c r="J195" s="6" t="n">
        <v>15600</v>
      </c>
      <c r="K195" s="6" t="n">
        <v>14250</v>
      </c>
      <c r="L195" s="7" t="n">
        <v>1.09473684210526</v>
      </c>
      <c r="M195" s="5" t="s">
        <v>177</v>
      </c>
      <c r="N195" s="5" t="s">
        <v>178</v>
      </c>
    </row>
    <row r="196" customFormat="false" ht="15" hidden="false" customHeight="false" outlineLevel="0" collapsed="false">
      <c r="A196" s="2" t="n">
        <v>1195</v>
      </c>
      <c r="B196" s="2" t="s">
        <v>186</v>
      </c>
      <c r="C196" s="2" t="s">
        <v>46</v>
      </c>
      <c r="D196" s="2" t="s">
        <v>30</v>
      </c>
      <c r="E196" s="2" t="s">
        <v>40</v>
      </c>
      <c r="F196" s="2" t="s">
        <v>36</v>
      </c>
      <c r="G196" s="2" t="s">
        <v>24</v>
      </c>
      <c r="H196" s="3" t="n">
        <v>8000</v>
      </c>
      <c r="I196" s="2" t="n">
        <v>4</v>
      </c>
      <c r="J196" s="3" t="n">
        <v>34240</v>
      </c>
      <c r="K196" s="3" t="n">
        <v>31680</v>
      </c>
      <c r="L196" s="4" t="n">
        <v>1.08080808080808</v>
      </c>
      <c r="M196" s="2" t="s">
        <v>177</v>
      </c>
      <c r="N196" s="2" t="s">
        <v>178</v>
      </c>
    </row>
    <row r="197" customFormat="false" ht="15" hidden="false" customHeight="false" outlineLevel="0" collapsed="false">
      <c r="A197" s="5" t="n">
        <v>1196</v>
      </c>
      <c r="B197" s="5" t="s">
        <v>187</v>
      </c>
      <c r="C197" s="5" t="s">
        <v>47</v>
      </c>
      <c r="D197" s="5" t="s">
        <v>35</v>
      </c>
      <c r="E197" s="5" t="s">
        <v>17</v>
      </c>
      <c r="F197" s="5" t="s">
        <v>23</v>
      </c>
      <c r="G197" s="5" t="s">
        <v>24</v>
      </c>
      <c r="H197" s="6" t="n">
        <v>20000</v>
      </c>
      <c r="I197" s="5" t="n">
        <v>2</v>
      </c>
      <c r="J197" s="6" t="n">
        <v>39200</v>
      </c>
      <c r="K197" s="6" t="n">
        <v>41600</v>
      </c>
      <c r="L197" s="7" t="n">
        <v>0.942307692307692</v>
      </c>
      <c r="M197" s="5" t="s">
        <v>177</v>
      </c>
      <c r="N197" s="5" t="s">
        <v>178</v>
      </c>
    </row>
    <row r="198" customFormat="false" ht="15" hidden="false" customHeight="false" outlineLevel="0" collapsed="false">
      <c r="A198" s="2" t="n">
        <v>1197</v>
      </c>
      <c r="B198" s="2" t="s">
        <v>188</v>
      </c>
      <c r="C198" s="2" t="s">
        <v>47</v>
      </c>
      <c r="D198" s="2" t="s">
        <v>35</v>
      </c>
      <c r="E198" s="2" t="s">
        <v>17</v>
      </c>
      <c r="F198" s="2" t="s">
        <v>18</v>
      </c>
      <c r="G198" s="2" t="s">
        <v>19</v>
      </c>
      <c r="H198" s="3" t="n">
        <v>12000</v>
      </c>
      <c r="I198" s="2" t="n">
        <v>6</v>
      </c>
      <c r="J198" s="3" t="n">
        <v>78480</v>
      </c>
      <c r="K198" s="3" t="n">
        <v>69120</v>
      </c>
      <c r="L198" s="4" t="n">
        <v>1.13541666666667</v>
      </c>
      <c r="M198" s="2" t="s">
        <v>177</v>
      </c>
      <c r="N198" s="2" t="s">
        <v>178</v>
      </c>
    </row>
    <row r="199" customFormat="false" ht="15" hidden="false" customHeight="false" outlineLevel="0" collapsed="false">
      <c r="A199" s="5" t="n">
        <v>1198</v>
      </c>
      <c r="B199" s="5" t="s">
        <v>185</v>
      </c>
      <c r="C199" s="5" t="s">
        <v>47</v>
      </c>
      <c r="D199" s="5" t="s">
        <v>35</v>
      </c>
      <c r="E199" s="5" t="s">
        <v>17</v>
      </c>
      <c r="F199" s="5" t="s">
        <v>56</v>
      </c>
      <c r="G199" s="5" t="s">
        <v>57</v>
      </c>
      <c r="H199" s="6" t="n">
        <v>25000</v>
      </c>
      <c r="I199" s="5" t="n">
        <v>3</v>
      </c>
      <c r="J199" s="6" t="n">
        <v>69000</v>
      </c>
      <c r="K199" s="6" t="n">
        <v>73500</v>
      </c>
      <c r="L199" s="7" t="n">
        <v>0.938775510204082</v>
      </c>
      <c r="M199" s="5" t="s">
        <v>177</v>
      </c>
      <c r="N199" s="5" t="s">
        <v>178</v>
      </c>
    </row>
    <row r="200" customFormat="false" ht="15" hidden="false" customHeight="false" outlineLevel="0" collapsed="false">
      <c r="A200" s="2" t="n">
        <v>1199</v>
      </c>
      <c r="B200" s="2" t="s">
        <v>189</v>
      </c>
      <c r="C200" s="2" t="s">
        <v>49</v>
      </c>
      <c r="D200" s="2" t="s">
        <v>39</v>
      </c>
      <c r="E200" s="2" t="s">
        <v>31</v>
      </c>
      <c r="F200" s="2" t="s">
        <v>44</v>
      </c>
      <c r="G200" s="2" t="s">
        <v>19</v>
      </c>
      <c r="H200" s="3" t="n">
        <v>18000</v>
      </c>
      <c r="I200" s="2" t="n">
        <v>3</v>
      </c>
      <c r="J200" s="3" t="n">
        <v>46980</v>
      </c>
      <c r="K200" s="3" t="n">
        <v>57780</v>
      </c>
      <c r="L200" s="4" t="n">
        <v>0.813084112149533</v>
      </c>
      <c r="M200" s="2" t="s">
        <v>177</v>
      </c>
      <c r="N200" s="2" t="s">
        <v>178</v>
      </c>
    </row>
    <row r="201" customFormat="false" ht="15" hidden="false" customHeight="false" outlineLevel="0" collapsed="false">
      <c r="A201" s="5" t="n">
        <v>1200</v>
      </c>
      <c r="B201" s="5" t="s">
        <v>190</v>
      </c>
      <c r="C201" s="5" t="s">
        <v>50</v>
      </c>
      <c r="D201" s="5" t="s">
        <v>16</v>
      </c>
      <c r="E201" s="5" t="s">
        <v>40</v>
      </c>
      <c r="F201" s="5" t="s">
        <v>44</v>
      </c>
      <c r="G201" s="5" t="s">
        <v>19</v>
      </c>
      <c r="H201" s="6" t="n">
        <v>18000</v>
      </c>
      <c r="I201" s="5" t="n">
        <v>8</v>
      </c>
      <c r="J201" s="6" t="n">
        <v>161280</v>
      </c>
      <c r="K201" s="6" t="n">
        <v>133920</v>
      </c>
      <c r="L201" s="7" t="n">
        <v>1.20430107526882</v>
      </c>
      <c r="M201" s="5" t="s">
        <v>177</v>
      </c>
      <c r="N201" s="5" t="s">
        <v>178</v>
      </c>
    </row>
    <row r="202" customFormat="false" ht="15" hidden="false" customHeight="false" outlineLevel="0" collapsed="false">
      <c r="A202" s="2" t="n">
        <v>1201</v>
      </c>
      <c r="B202" s="2" t="s">
        <v>176</v>
      </c>
      <c r="C202" s="2" t="s">
        <v>50</v>
      </c>
      <c r="D202" s="2" t="s">
        <v>16</v>
      </c>
      <c r="E202" s="2" t="s">
        <v>40</v>
      </c>
      <c r="F202" s="2" t="s">
        <v>23</v>
      </c>
      <c r="G202" s="2" t="s">
        <v>24</v>
      </c>
      <c r="H202" s="3" t="n">
        <v>20000</v>
      </c>
      <c r="I202" s="2" t="n">
        <v>5</v>
      </c>
      <c r="J202" s="3" t="n">
        <v>99000</v>
      </c>
      <c r="K202" s="3" t="n">
        <v>103000</v>
      </c>
      <c r="L202" s="4" t="n">
        <v>0.961165048543689</v>
      </c>
      <c r="M202" s="2" t="s">
        <v>177</v>
      </c>
      <c r="N202" s="2" t="s">
        <v>178</v>
      </c>
    </row>
    <row r="203" customFormat="false" ht="15" hidden="false" customHeight="false" outlineLevel="0" collapsed="false">
      <c r="A203" s="5" t="n">
        <v>1202</v>
      </c>
      <c r="B203" s="5" t="s">
        <v>190</v>
      </c>
      <c r="C203" s="5" t="s">
        <v>50</v>
      </c>
      <c r="D203" s="5" t="s">
        <v>16</v>
      </c>
      <c r="E203" s="5" t="s">
        <v>40</v>
      </c>
      <c r="F203" s="5" t="s">
        <v>56</v>
      </c>
      <c r="G203" s="5" t="s">
        <v>57</v>
      </c>
      <c r="H203" s="6" t="n">
        <v>25000</v>
      </c>
      <c r="I203" s="5" t="n">
        <v>5</v>
      </c>
      <c r="J203" s="6" t="n">
        <v>131250</v>
      </c>
      <c r="K203" s="6" t="n">
        <v>116250</v>
      </c>
      <c r="L203" s="7" t="n">
        <v>1.12903225806452</v>
      </c>
      <c r="M203" s="5" t="s">
        <v>177</v>
      </c>
      <c r="N203" s="5" t="s">
        <v>178</v>
      </c>
    </row>
    <row r="204" customFormat="false" ht="15" hidden="false" customHeight="false" outlineLevel="0" collapsed="false">
      <c r="A204" s="2" t="n">
        <v>1203</v>
      </c>
      <c r="B204" s="2" t="s">
        <v>182</v>
      </c>
      <c r="C204" s="2" t="s">
        <v>51</v>
      </c>
      <c r="D204" s="2" t="s">
        <v>30</v>
      </c>
      <c r="E204" s="2" t="s">
        <v>17</v>
      </c>
      <c r="F204" s="2" t="s">
        <v>26</v>
      </c>
      <c r="G204" s="2" t="s">
        <v>27</v>
      </c>
      <c r="H204" s="3" t="n">
        <v>15000</v>
      </c>
      <c r="I204" s="2" t="n">
        <v>5</v>
      </c>
      <c r="J204" s="3" t="n">
        <v>78000</v>
      </c>
      <c r="K204" s="3" t="n">
        <v>73500</v>
      </c>
      <c r="L204" s="4" t="n">
        <v>1.06122448979592</v>
      </c>
      <c r="M204" s="2" t="s">
        <v>177</v>
      </c>
      <c r="N204" s="2" t="s">
        <v>178</v>
      </c>
    </row>
    <row r="205" customFormat="false" ht="15" hidden="false" customHeight="false" outlineLevel="0" collapsed="false">
      <c r="A205" s="5" t="n">
        <v>1204</v>
      </c>
      <c r="B205" s="5" t="s">
        <v>191</v>
      </c>
      <c r="C205" s="5" t="s">
        <v>51</v>
      </c>
      <c r="D205" s="5" t="s">
        <v>30</v>
      </c>
      <c r="E205" s="5" t="s">
        <v>17</v>
      </c>
      <c r="F205" s="5" t="s">
        <v>56</v>
      </c>
      <c r="G205" s="5" t="s">
        <v>57</v>
      </c>
      <c r="H205" s="6" t="n">
        <v>25000</v>
      </c>
      <c r="I205" s="5" t="n">
        <v>5</v>
      </c>
      <c r="J205" s="6" t="n">
        <v>113750</v>
      </c>
      <c r="K205" s="6" t="n">
        <v>122500</v>
      </c>
      <c r="L205" s="7" t="n">
        <v>0.928571428571429</v>
      </c>
      <c r="M205" s="5" t="s">
        <v>177</v>
      </c>
      <c r="N205" s="5" t="s">
        <v>178</v>
      </c>
    </row>
    <row r="206" customFormat="false" ht="15" hidden="false" customHeight="false" outlineLevel="0" collapsed="false">
      <c r="A206" s="2" t="n">
        <v>1205</v>
      </c>
      <c r="B206" s="2" t="s">
        <v>192</v>
      </c>
      <c r="C206" s="2" t="s">
        <v>15</v>
      </c>
      <c r="D206" s="2" t="s">
        <v>16</v>
      </c>
      <c r="E206" s="2" t="s">
        <v>17</v>
      </c>
      <c r="F206" s="2" t="s">
        <v>44</v>
      </c>
      <c r="G206" s="2" t="s">
        <v>19</v>
      </c>
      <c r="H206" s="3" t="n">
        <v>18000</v>
      </c>
      <c r="I206" s="2" t="n">
        <v>7</v>
      </c>
      <c r="J206" s="3" t="n">
        <v>128520</v>
      </c>
      <c r="K206" s="3" t="n">
        <v>127260</v>
      </c>
      <c r="L206" s="4" t="n">
        <v>1.00990099009901</v>
      </c>
      <c r="M206" s="2" t="s">
        <v>177</v>
      </c>
      <c r="N206" s="2" t="s">
        <v>193</v>
      </c>
    </row>
    <row r="207" customFormat="false" ht="15" hidden="false" customHeight="false" outlineLevel="0" collapsed="false">
      <c r="A207" s="5" t="n">
        <v>1206</v>
      </c>
      <c r="B207" s="5" t="s">
        <v>194</v>
      </c>
      <c r="C207" s="5" t="s">
        <v>29</v>
      </c>
      <c r="D207" s="5" t="s">
        <v>30</v>
      </c>
      <c r="E207" s="5" t="s">
        <v>31</v>
      </c>
      <c r="F207" s="5" t="s">
        <v>18</v>
      </c>
      <c r="G207" s="5" t="s">
        <v>19</v>
      </c>
      <c r="H207" s="6" t="n">
        <v>12000</v>
      </c>
      <c r="I207" s="5" t="n">
        <v>7</v>
      </c>
      <c r="J207" s="6" t="n">
        <v>78120</v>
      </c>
      <c r="K207" s="6" t="n">
        <v>84840</v>
      </c>
      <c r="L207" s="7" t="n">
        <v>0.920792079207921</v>
      </c>
      <c r="M207" s="5" t="s">
        <v>177</v>
      </c>
      <c r="N207" s="5" t="s">
        <v>193</v>
      </c>
    </row>
    <row r="208" customFormat="false" ht="15" hidden="false" customHeight="false" outlineLevel="0" collapsed="false">
      <c r="A208" s="2" t="n">
        <v>1207</v>
      </c>
      <c r="B208" s="2" t="s">
        <v>195</v>
      </c>
      <c r="C208" s="2" t="s">
        <v>29</v>
      </c>
      <c r="D208" s="2" t="s">
        <v>30</v>
      </c>
      <c r="E208" s="2" t="s">
        <v>31</v>
      </c>
      <c r="F208" s="2" t="s">
        <v>23</v>
      </c>
      <c r="G208" s="2" t="s">
        <v>24</v>
      </c>
      <c r="H208" s="3" t="n">
        <v>20000</v>
      </c>
      <c r="I208" s="2" t="n">
        <v>1</v>
      </c>
      <c r="J208" s="3" t="n">
        <v>22400</v>
      </c>
      <c r="K208" s="3" t="n">
        <v>21000</v>
      </c>
      <c r="L208" s="4" t="n">
        <v>1.06666666666667</v>
      </c>
      <c r="M208" s="2" t="s">
        <v>177</v>
      </c>
      <c r="N208" s="2" t="s">
        <v>193</v>
      </c>
    </row>
    <row r="209" customFormat="false" ht="15" hidden="false" customHeight="false" outlineLevel="0" collapsed="false">
      <c r="A209" s="5" t="n">
        <v>1208</v>
      </c>
      <c r="B209" s="5" t="s">
        <v>196</v>
      </c>
      <c r="C209" s="5" t="s">
        <v>34</v>
      </c>
      <c r="D209" s="5" t="s">
        <v>35</v>
      </c>
      <c r="E209" s="5" t="s">
        <v>17</v>
      </c>
      <c r="F209" s="5" t="s">
        <v>44</v>
      </c>
      <c r="G209" s="5" t="s">
        <v>19</v>
      </c>
      <c r="H209" s="6" t="n">
        <v>18000</v>
      </c>
      <c r="I209" s="5" t="n">
        <v>10</v>
      </c>
      <c r="J209" s="6" t="n">
        <v>196200</v>
      </c>
      <c r="K209" s="6" t="n">
        <v>169200</v>
      </c>
      <c r="L209" s="7" t="n">
        <v>1.15957446808511</v>
      </c>
      <c r="M209" s="5" t="s">
        <v>177</v>
      </c>
      <c r="N209" s="5" t="s">
        <v>193</v>
      </c>
    </row>
    <row r="210" customFormat="false" ht="15" hidden="false" customHeight="false" outlineLevel="0" collapsed="false">
      <c r="A210" s="2" t="n">
        <v>1209</v>
      </c>
      <c r="B210" s="2" t="s">
        <v>194</v>
      </c>
      <c r="C210" s="2" t="s">
        <v>34</v>
      </c>
      <c r="D210" s="2" t="s">
        <v>35</v>
      </c>
      <c r="E210" s="2" t="s">
        <v>17</v>
      </c>
      <c r="F210" s="2" t="s">
        <v>26</v>
      </c>
      <c r="G210" s="2" t="s">
        <v>27</v>
      </c>
      <c r="H210" s="3" t="n">
        <v>15000</v>
      </c>
      <c r="I210" s="2" t="n">
        <v>5</v>
      </c>
      <c r="J210" s="3" t="n">
        <v>78750</v>
      </c>
      <c r="K210" s="3" t="n">
        <v>78000</v>
      </c>
      <c r="L210" s="4" t="n">
        <v>1.00961538461539</v>
      </c>
      <c r="M210" s="2" t="s">
        <v>177</v>
      </c>
      <c r="N210" s="2" t="s">
        <v>193</v>
      </c>
    </row>
    <row r="211" customFormat="false" ht="15" hidden="false" customHeight="false" outlineLevel="0" collapsed="false">
      <c r="A211" s="5" t="n">
        <v>1210</v>
      </c>
      <c r="B211" s="5" t="s">
        <v>197</v>
      </c>
      <c r="C211" s="5" t="s">
        <v>38</v>
      </c>
      <c r="D211" s="5" t="s">
        <v>39</v>
      </c>
      <c r="E211" s="5" t="s">
        <v>40</v>
      </c>
      <c r="F211" s="5" t="s">
        <v>44</v>
      </c>
      <c r="G211" s="5" t="s">
        <v>19</v>
      </c>
      <c r="H211" s="6" t="n">
        <v>18000</v>
      </c>
      <c r="I211" s="5" t="n">
        <v>2</v>
      </c>
      <c r="J211" s="6" t="n">
        <v>40320</v>
      </c>
      <c r="K211" s="6" t="n">
        <v>37080</v>
      </c>
      <c r="L211" s="7" t="n">
        <v>1.0873786407767</v>
      </c>
      <c r="M211" s="5" t="s">
        <v>177</v>
      </c>
      <c r="N211" s="5" t="s">
        <v>193</v>
      </c>
    </row>
    <row r="212" customFormat="false" ht="15" hidden="false" customHeight="false" outlineLevel="0" collapsed="false">
      <c r="A212" s="2" t="n">
        <v>1211</v>
      </c>
      <c r="B212" s="2" t="s">
        <v>198</v>
      </c>
      <c r="C212" s="2" t="s">
        <v>38</v>
      </c>
      <c r="D212" s="2" t="s">
        <v>39</v>
      </c>
      <c r="E212" s="2" t="s">
        <v>40</v>
      </c>
      <c r="F212" s="2" t="s">
        <v>56</v>
      </c>
      <c r="G212" s="2" t="s">
        <v>57</v>
      </c>
      <c r="H212" s="3" t="n">
        <v>25000</v>
      </c>
      <c r="I212" s="2" t="n">
        <v>1</v>
      </c>
      <c r="J212" s="3" t="n">
        <v>25500</v>
      </c>
      <c r="K212" s="3" t="n">
        <v>26250</v>
      </c>
      <c r="L212" s="4" t="n">
        <v>0.971428571428571</v>
      </c>
      <c r="M212" s="2" t="s">
        <v>177</v>
      </c>
      <c r="N212" s="2" t="s">
        <v>193</v>
      </c>
    </row>
    <row r="213" customFormat="false" ht="15" hidden="false" customHeight="false" outlineLevel="0" collapsed="false">
      <c r="A213" s="5" t="n">
        <v>1212</v>
      </c>
      <c r="B213" s="5" t="s">
        <v>199</v>
      </c>
      <c r="C213" s="5" t="s">
        <v>38</v>
      </c>
      <c r="D213" s="5" t="s">
        <v>39</v>
      </c>
      <c r="E213" s="5" t="s">
        <v>40</v>
      </c>
      <c r="F213" s="5" t="s">
        <v>36</v>
      </c>
      <c r="G213" s="5" t="s">
        <v>24</v>
      </c>
      <c r="H213" s="6" t="n">
        <v>8000</v>
      </c>
      <c r="I213" s="5" t="n">
        <v>6</v>
      </c>
      <c r="J213" s="6" t="n">
        <v>51360</v>
      </c>
      <c r="K213" s="6" t="n">
        <v>45120</v>
      </c>
      <c r="L213" s="7" t="n">
        <v>1.13829787234043</v>
      </c>
      <c r="M213" s="5" t="s">
        <v>177</v>
      </c>
      <c r="N213" s="5" t="s">
        <v>193</v>
      </c>
    </row>
    <row r="214" customFormat="false" ht="15" hidden="false" customHeight="false" outlineLevel="0" collapsed="false">
      <c r="A214" s="2" t="n">
        <v>1213</v>
      </c>
      <c r="B214" s="2" t="s">
        <v>200</v>
      </c>
      <c r="C214" s="2" t="s">
        <v>43</v>
      </c>
      <c r="D214" s="2" t="s">
        <v>16</v>
      </c>
      <c r="E214" s="2" t="s">
        <v>31</v>
      </c>
      <c r="F214" s="2" t="s">
        <v>36</v>
      </c>
      <c r="G214" s="2" t="s">
        <v>24</v>
      </c>
      <c r="H214" s="3" t="n">
        <v>8000</v>
      </c>
      <c r="I214" s="2" t="n">
        <v>9</v>
      </c>
      <c r="J214" s="3" t="n">
        <v>72000</v>
      </c>
      <c r="K214" s="3" t="n">
        <v>68400</v>
      </c>
      <c r="L214" s="4" t="n">
        <v>1.05263157894737</v>
      </c>
      <c r="M214" s="2" t="s">
        <v>177</v>
      </c>
      <c r="N214" s="2" t="s">
        <v>193</v>
      </c>
    </row>
    <row r="215" customFormat="false" ht="15" hidden="false" customHeight="false" outlineLevel="0" collapsed="false">
      <c r="A215" s="5" t="n">
        <v>1214</v>
      </c>
      <c r="B215" s="5" t="s">
        <v>201</v>
      </c>
      <c r="C215" s="5" t="s">
        <v>43</v>
      </c>
      <c r="D215" s="5" t="s">
        <v>16</v>
      </c>
      <c r="E215" s="5" t="s">
        <v>31</v>
      </c>
      <c r="F215" s="5" t="s">
        <v>36</v>
      </c>
      <c r="G215" s="5" t="s">
        <v>24</v>
      </c>
      <c r="H215" s="6" t="n">
        <v>8000</v>
      </c>
      <c r="I215" s="5" t="n">
        <v>8</v>
      </c>
      <c r="J215" s="6" t="n">
        <v>72960</v>
      </c>
      <c r="K215" s="6" t="n">
        <v>61440</v>
      </c>
      <c r="L215" s="7" t="n">
        <v>1.1875</v>
      </c>
      <c r="M215" s="5" t="s">
        <v>177</v>
      </c>
      <c r="N215" s="5" t="s">
        <v>193</v>
      </c>
    </row>
    <row r="216" customFormat="false" ht="15" hidden="false" customHeight="false" outlineLevel="0" collapsed="false">
      <c r="A216" s="2" t="n">
        <v>1215</v>
      </c>
      <c r="B216" s="2" t="s">
        <v>202</v>
      </c>
      <c r="C216" s="2" t="s">
        <v>43</v>
      </c>
      <c r="D216" s="2" t="s">
        <v>16</v>
      </c>
      <c r="E216" s="2" t="s">
        <v>31</v>
      </c>
      <c r="F216" s="2" t="s">
        <v>36</v>
      </c>
      <c r="G216" s="2" t="s">
        <v>24</v>
      </c>
      <c r="H216" s="3" t="n">
        <v>8000</v>
      </c>
      <c r="I216" s="2" t="n">
        <v>2</v>
      </c>
      <c r="J216" s="3" t="n">
        <v>15840</v>
      </c>
      <c r="K216" s="3" t="n">
        <v>14720</v>
      </c>
      <c r="L216" s="4" t="n">
        <v>1.07608695652174</v>
      </c>
      <c r="M216" s="2" t="s">
        <v>177</v>
      </c>
      <c r="N216" s="2" t="s">
        <v>193</v>
      </c>
    </row>
    <row r="217" customFormat="false" ht="15" hidden="false" customHeight="false" outlineLevel="0" collapsed="false">
      <c r="A217" s="5" t="n">
        <v>1216</v>
      </c>
      <c r="B217" s="5" t="s">
        <v>203</v>
      </c>
      <c r="C217" s="5" t="s">
        <v>46</v>
      </c>
      <c r="D217" s="5" t="s">
        <v>30</v>
      </c>
      <c r="E217" s="5" t="s">
        <v>40</v>
      </c>
      <c r="F217" s="5" t="s">
        <v>23</v>
      </c>
      <c r="G217" s="5" t="s">
        <v>24</v>
      </c>
      <c r="H217" s="6" t="n">
        <v>20000</v>
      </c>
      <c r="I217" s="5" t="n">
        <v>7</v>
      </c>
      <c r="J217" s="6" t="n">
        <v>159600</v>
      </c>
      <c r="K217" s="6" t="n">
        <v>148400</v>
      </c>
      <c r="L217" s="7" t="n">
        <v>1.07547169811321</v>
      </c>
      <c r="M217" s="5" t="s">
        <v>177</v>
      </c>
      <c r="N217" s="5" t="s">
        <v>193</v>
      </c>
    </row>
    <row r="218" customFormat="false" ht="15" hidden="false" customHeight="false" outlineLevel="0" collapsed="false">
      <c r="A218" s="2" t="n">
        <v>1217</v>
      </c>
      <c r="B218" s="2" t="s">
        <v>203</v>
      </c>
      <c r="C218" s="2" t="s">
        <v>47</v>
      </c>
      <c r="D218" s="2" t="s">
        <v>35</v>
      </c>
      <c r="E218" s="2" t="s">
        <v>17</v>
      </c>
      <c r="F218" s="2" t="s">
        <v>56</v>
      </c>
      <c r="G218" s="2" t="s">
        <v>57</v>
      </c>
      <c r="H218" s="3" t="n">
        <v>25000</v>
      </c>
      <c r="I218" s="2" t="n">
        <v>1</v>
      </c>
      <c r="J218" s="3" t="n">
        <v>23250</v>
      </c>
      <c r="K218" s="3" t="n">
        <v>23000</v>
      </c>
      <c r="L218" s="4" t="n">
        <v>1.01086956521739</v>
      </c>
      <c r="M218" s="2" t="s">
        <v>177</v>
      </c>
      <c r="N218" s="2" t="s">
        <v>193</v>
      </c>
    </row>
    <row r="219" customFormat="false" ht="15" hidden="false" customHeight="false" outlineLevel="0" collapsed="false">
      <c r="A219" s="5" t="n">
        <v>1218</v>
      </c>
      <c r="B219" s="5" t="s">
        <v>203</v>
      </c>
      <c r="C219" s="5" t="s">
        <v>49</v>
      </c>
      <c r="D219" s="5" t="s">
        <v>39</v>
      </c>
      <c r="E219" s="5" t="s">
        <v>31</v>
      </c>
      <c r="F219" s="5" t="s">
        <v>23</v>
      </c>
      <c r="G219" s="5" t="s">
        <v>24</v>
      </c>
      <c r="H219" s="6" t="n">
        <v>20000</v>
      </c>
      <c r="I219" s="5" t="n">
        <v>5</v>
      </c>
      <c r="J219" s="6" t="n">
        <v>103000</v>
      </c>
      <c r="K219" s="6" t="n">
        <v>106000</v>
      </c>
      <c r="L219" s="7" t="n">
        <v>0.971698113207547</v>
      </c>
      <c r="M219" s="5" t="s">
        <v>177</v>
      </c>
      <c r="N219" s="5" t="s">
        <v>193</v>
      </c>
    </row>
    <row r="220" customFormat="false" ht="15" hidden="false" customHeight="false" outlineLevel="0" collapsed="false">
      <c r="A220" s="2" t="n">
        <v>1219</v>
      </c>
      <c r="B220" s="2" t="s">
        <v>204</v>
      </c>
      <c r="C220" s="2" t="s">
        <v>49</v>
      </c>
      <c r="D220" s="2" t="s">
        <v>39</v>
      </c>
      <c r="E220" s="2" t="s">
        <v>31</v>
      </c>
      <c r="F220" s="2" t="s">
        <v>18</v>
      </c>
      <c r="G220" s="2" t="s">
        <v>19</v>
      </c>
      <c r="H220" s="3" t="n">
        <v>12000</v>
      </c>
      <c r="I220" s="2" t="n">
        <v>4</v>
      </c>
      <c r="J220" s="3" t="n">
        <v>47520</v>
      </c>
      <c r="K220" s="3" t="n">
        <v>48960</v>
      </c>
      <c r="L220" s="4" t="n">
        <v>0.970588235294118</v>
      </c>
      <c r="M220" s="2" t="s">
        <v>177</v>
      </c>
      <c r="N220" s="2" t="s">
        <v>193</v>
      </c>
    </row>
    <row r="221" customFormat="false" ht="15" hidden="false" customHeight="false" outlineLevel="0" collapsed="false">
      <c r="A221" s="5" t="n">
        <v>1220</v>
      </c>
      <c r="B221" s="5" t="s">
        <v>195</v>
      </c>
      <c r="C221" s="5" t="s">
        <v>49</v>
      </c>
      <c r="D221" s="5" t="s">
        <v>39</v>
      </c>
      <c r="E221" s="5" t="s">
        <v>31</v>
      </c>
      <c r="F221" s="5" t="s">
        <v>36</v>
      </c>
      <c r="G221" s="5" t="s">
        <v>24</v>
      </c>
      <c r="H221" s="6" t="n">
        <v>8000</v>
      </c>
      <c r="I221" s="5" t="n">
        <v>10</v>
      </c>
      <c r="J221" s="6" t="n">
        <v>73600</v>
      </c>
      <c r="K221" s="6" t="n">
        <v>72800</v>
      </c>
      <c r="L221" s="7" t="n">
        <v>1.01098901098901</v>
      </c>
      <c r="M221" s="5" t="s">
        <v>177</v>
      </c>
      <c r="N221" s="5" t="s">
        <v>193</v>
      </c>
    </row>
    <row r="222" customFormat="false" ht="15" hidden="false" customHeight="false" outlineLevel="0" collapsed="false">
      <c r="A222" s="2" t="n">
        <v>1221</v>
      </c>
      <c r="B222" s="2" t="s">
        <v>205</v>
      </c>
      <c r="C222" s="2" t="s">
        <v>50</v>
      </c>
      <c r="D222" s="2" t="s">
        <v>16</v>
      </c>
      <c r="E222" s="2" t="s">
        <v>40</v>
      </c>
      <c r="F222" s="2" t="s">
        <v>23</v>
      </c>
      <c r="G222" s="2" t="s">
        <v>24</v>
      </c>
      <c r="H222" s="3" t="n">
        <v>20000</v>
      </c>
      <c r="I222" s="2" t="n">
        <v>5</v>
      </c>
      <c r="J222" s="3" t="n">
        <v>104000</v>
      </c>
      <c r="K222" s="3" t="n">
        <v>92000</v>
      </c>
      <c r="L222" s="4" t="n">
        <v>1.1304347826087</v>
      </c>
      <c r="M222" s="2" t="s">
        <v>177</v>
      </c>
      <c r="N222" s="2" t="s">
        <v>193</v>
      </c>
    </row>
    <row r="223" customFormat="false" ht="15" hidden="false" customHeight="false" outlineLevel="0" collapsed="false">
      <c r="A223" s="5" t="n">
        <v>1222</v>
      </c>
      <c r="B223" s="5" t="s">
        <v>206</v>
      </c>
      <c r="C223" s="5" t="s">
        <v>50</v>
      </c>
      <c r="D223" s="5" t="s">
        <v>16</v>
      </c>
      <c r="E223" s="5" t="s">
        <v>40</v>
      </c>
      <c r="F223" s="5" t="s">
        <v>18</v>
      </c>
      <c r="G223" s="5" t="s">
        <v>19</v>
      </c>
      <c r="H223" s="6" t="n">
        <v>12000</v>
      </c>
      <c r="I223" s="5" t="n">
        <v>5</v>
      </c>
      <c r="J223" s="6" t="n">
        <v>69000</v>
      </c>
      <c r="K223" s="6" t="n">
        <v>55200</v>
      </c>
      <c r="L223" s="7" t="n">
        <v>1.25</v>
      </c>
      <c r="M223" s="5" t="s">
        <v>177</v>
      </c>
      <c r="N223" s="5" t="s">
        <v>193</v>
      </c>
    </row>
    <row r="224" customFormat="false" ht="15" hidden="false" customHeight="false" outlineLevel="0" collapsed="false">
      <c r="A224" s="2" t="n">
        <v>1223</v>
      </c>
      <c r="B224" s="2" t="s">
        <v>207</v>
      </c>
      <c r="C224" s="2" t="s">
        <v>51</v>
      </c>
      <c r="D224" s="2" t="s">
        <v>30</v>
      </c>
      <c r="E224" s="2" t="s">
        <v>17</v>
      </c>
      <c r="F224" s="2" t="s">
        <v>44</v>
      </c>
      <c r="G224" s="2" t="s">
        <v>19</v>
      </c>
      <c r="H224" s="3" t="n">
        <v>18000</v>
      </c>
      <c r="I224" s="2" t="n">
        <v>7</v>
      </c>
      <c r="J224" s="3" t="n">
        <v>124740</v>
      </c>
      <c r="K224" s="3" t="n">
        <v>129780</v>
      </c>
      <c r="L224" s="4" t="n">
        <v>0.961165048543689</v>
      </c>
      <c r="M224" s="2" t="s">
        <v>177</v>
      </c>
      <c r="N224" s="2" t="s">
        <v>193</v>
      </c>
    </row>
    <row r="225" customFormat="false" ht="15" hidden="false" customHeight="false" outlineLevel="0" collapsed="false">
      <c r="A225" s="5" t="n">
        <v>1224</v>
      </c>
      <c r="B225" s="5" t="s">
        <v>199</v>
      </c>
      <c r="C225" s="5" t="s">
        <v>51</v>
      </c>
      <c r="D225" s="5" t="s">
        <v>30</v>
      </c>
      <c r="E225" s="5" t="s">
        <v>17</v>
      </c>
      <c r="F225" s="5" t="s">
        <v>23</v>
      </c>
      <c r="G225" s="5" t="s">
        <v>24</v>
      </c>
      <c r="H225" s="6" t="n">
        <v>20000</v>
      </c>
      <c r="I225" s="5" t="n">
        <v>9</v>
      </c>
      <c r="J225" s="6" t="n">
        <v>176400</v>
      </c>
      <c r="K225" s="6" t="n">
        <v>189000</v>
      </c>
      <c r="L225" s="7" t="n">
        <v>0.933333333333333</v>
      </c>
      <c r="M225" s="5" t="s">
        <v>177</v>
      </c>
      <c r="N225" s="5" t="s">
        <v>193</v>
      </c>
    </row>
    <row r="226" customFormat="false" ht="15" hidden="false" customHeight="false" outlineLevel="0" collapsed="false">
      <c r="A226" s="2" t="n">
        <v>1225</v>
      </c>
      <c r="B226" s="2" t="s">
        <v>208</v>
      </c>
      <c r="C226" s="2" t="s">
        <v>51</v>
      </c>
      <c r="D226" s="2" t="s">
        <v>30</v>
      </c>
      <c r="E226" s="2" t="s">
        <v>17</v>
      </c>
      <c r="F226" s="2" t="s">
        <v>56</v>
      </c>
      <c r="G226" s="2" t="s">
        <v>57</v>
      </c>
      <c r="H226" s="3" t="n">
        <v>25000</v>
      </c>
      <c r="I226" s="2" t="n">
        <v>2</v>
      </c>
      <c r="J226" s="3" t="n">
        <v>55000</v>
      </c>
      <c r="K226" s="3" t="n">
        <v>51000</v>
      </c>
      <c r="L226" s="4" t="n">
        <v>1.07843137254902</v>
      </c>
      <c r="M226" s="2" t="s">
        <v>177</v>
      </c>
      <c r="N226" s="2" t="s">
        <v>193</v>
      </c>
    </row>
    <row r="227" customFormat="false" ht="15" hidden="false" customHeight="false" outlineLevel="0" collapsed="false">
      <c r="A227" s="5" t="n">
        <v>1226</v>
      </c>
      <c r="B227" s="5" t="s">
        <v>209</v>
      </c>
      <c r="C227" s="5" t="s">
        <v>15</v>
      </c>
      <c r="D227" s="5" t="s">
        <v>16</v>
      </c>
      <c r="E227" s="5" t="s">
        <v>17</v>
      </c>
      <c r="F227" s="5" t="s">
        <v>23</v>
      </c>
      <c r="G227" s="5" t="s">
        <v>24</v>
      </c>
      <c r="H227" s="6" t="n">
        <v>20000</v>
      </c>
      <c r="I227" s="5" t="n">
        <v>6</v>
      </c>
      <c r="J227" s="6" t="n">
        <v>110400</v>
      </c>
      <c r="K227" s="6" t="n">
        <v>118800</v>
      </c>
      <c r="L227" s="7" t="n">
        <v>0.929292929292929</v>
      </c>
      <c r="M227" s="5" t="s">
        <v>177</v>
      </c>
      <c r="N227" s="5" t="s">
        <v>210</v>
      </c>
    </row>
    <row r="228" customFormat="false" ht="15" hidden="false" customHeight="false" outlineLevel="0" collapsed="false">
      <c r="A228" s="2" t="n">
        <v>1227</v>
      </c>
      <c r="B228" s="2" t="s">
        <v>211</v>
      </c>
      <c r="C228" s="2" t="s">
        <v>29</v>
      </c>
      <c r="D228" s="2" t="s">
        <v>30</v>
      </c>
      <c r="E228" s="2" t="s">
        <v>31</v>
      </c>
      <c r="F228" s="2" t="s">
        <v>18</v>
      </c>
      <c r="G228" s="2" t="s">
        <v>19</v>
      </c>
      <c r="H228" s="3" t="n">
        <v>12000</v>
      </c>
      <c r="I228" s="2" t="n">
        <v>6</v>
      </c>
      <c r="J228" s="3" t="n">
        <v>72720</v>
      </c>
      <c r="K228" s="3" t="n">
        <v>79200</v>
      </c>
      <c r="L228" s="4" t="n">
        <v>0.918181818181818</v>
      </c>
      <c r="M228" s="2" t="s">
        <v>177</v>
      </c>
      <c r="N228" s="2" t="s">
        <v>210</v>
      </c>
    </row>
    <row r="229" customFormat="false" ht="15" hidden="false" customHeight="false" outlineLevel="0" collapsed="false">
      <c r="A229" s="5" t="n">
        <v>1228</v>
      </c>
      <c r="B229" s="5" t="s">
        <v>212</v>
      </c>
      <c r="C229" s="5" t="s">
        <v>29</v>
      </c>
      <c r="D229" s="5" t="s">
        <v>30</v>
      </c>
      <c r="E229" s="5" t="s">
        <v>31</v>
      </c>
      <c r="F229" s="5" t="s">
        <v>18</v>
      </c>
      <c r="G229" s="5" t="s">
        <v>19</v>
      </c>
      <c r="H229" s="6" t="n">
        <v>12000</v>
      </c>
      <c r="I229" s="5" t="n">
        <v>7</v>
      </c>
      <c r="J229" s="6" t="n">
        <v>78120</v>
      </c>
      <c r="K229" s="6" t="n">
        <v>91560</v>
      </c>
      <c r="L229" s="7" t="n">
        <v>0.853211009174312</v>
      </c>
      <c r="M229" s="5" t="s">
        <v>177</v>
      </c>
      <c r="N229" s="5" t="s">
        <v>210</v>
      </c>
    </row>
    <row r="230" customFormat="false" ht="15" hidden="false" customHeight="false" outlineLevel="0" collapsed="false">
      <c r="A230" s="2" t="n">
        <v>1229</v>
      </c>
      <c r="B230" s="2" t="s">
        <v>213</v>
      </c>
      <c r="C230" s="2" t="s">
        <v>34</v>
      </c>
      <c r="D230" s="2" t="s">
        <v>35</v>
      </c>
      <c r="E230" s="2" t="s">
        <v>17</v>
      </c>
      <c r="F230" s="2" t="s">
        <v>18</v>
      </c>
      <c r="G230" s="2" t="s">
        <v>19</v>
      </c>
      <c r="H230" s="3" t="n">
        <v>12000</v>
      </c>
      <c r="I230" s="2" t="n">
        <v>4</v>
      </c>
      <c r="J230" s="3" t="n">
        <v>49920</v>
      </c>
      <c r="K230" s="3" t="n">
        <v>48960</v>
      </c>
      <c r="L230" s="4" t="n">
        <v>1.01960784313726</v>
      </c>
      <c r="M230" s="2" t="s">
        <v>177</v>
      </c>
      <c r="N230" s="2" t="s">
        <v>210</v>
      </c>
    </row>
    <row r="231" customFormat="false" ht="15" hidden="false" customHeight="false" outlineLevel="0" collapsed="false">
      <c r="A231" s="5" t="n">
        <v>1230</v>
      </c>
      <c r="B231" s="5" t="s">
        <v>214</v>
      </c>
      <c r="C231" s="5" t="s">
        <v>34</v>
      </c>
      <c r="D231" s="5" t="s">
        <v>35</v>
      </c>
      <c r="E231" s="5" t="s">
        <v>17</v>
      </c>
      <c r="F231" s="5" t="s">
        <v>18</v>
      </c>
      <c r="G231" s="5" t="s">
        <v>19</v>
      </c>
      <c r="H231" s="6" t="n">
        <v>12000</v>
      </c>
      <c r="I231" s="5" t="n">
        <v>6</v>
      </c>
      <c r="J231" s="6" t="n">
        <v>66240</v>
      </c>
      <c r="K231" s="6" t="n">
        <v>66960</v>
      </c>
      <c r="L231" s="7" t="n">
        <v>0.989247311827957</v>
      </c>
      <c r="M231" s="5" t="s">
        <v>177</v>
      </c>
      <c r="N231" s="5" t="s">
        <v>210</v>
      </c>
    </row>
    <row r="232" customFormat="false" ht="15" hidden="false" customHeight="false" outlineLevel="0" collapsed="false">
      <c r="A232" s="2" t="n">
        <v>1231</v>
      </c>
      <c r="B232" s="2" t="s">
        <v>212</v>
      </c>
      <c r="C232" s="2" t="s">
        <v>38</v>
      </c>
      <c r="D232" s="2" t="s">
        <v>39</v>
      </c>
      <c r="E232" s="2" t="s">
        <v>40</v>
      </c>
      <c r="F232" s="2" t="s">
        <v>18</v>
      </c>
      <c r="G232" s="2" t="s">
        <v>19</v>
      </c>
      <c r="H232" s="3" t="n">
        <v>12000</v>
      </c>
      <c r="I232" s="2" t="n">
        <v>9</v>
      </c>
      <c r="J232" s="3" t="n">
        <v>98280</v>
      </c>
      <c r="K232" s="3" t="n">
        <v>101520</v>
      </c>
      <c r="L232" s="4" t="n">
        <v>0.968085106382979</v>
      </c>
      <c r="M232" s="2" t="s">
        <v>177</v>
      </c>
      <c r="N232" s="2" t="s">
        <v>210</v>
      </c>
    </row>
    <row r="233" customFormat="false" ht="15" hidden="false" customHeight="false" outlineLevel="0" collapsed="false">
      <c r="A233" s="5" t="n">
        <v>1232</v>
      </c>
      <c r="B233" s="5" t="s">
        <v>215</v>
      </c>
      <c r="C233" s="5" t="s">
        <v>43</v>
      </c>
      <c r="D233" s="5" t="s">
        <v>16</v>
      </c>
      <c r="E233" s="5" t="s">
        <v>31</v>
      </c>
      <c r="F233" s="5" t="s">
        <v>36</v>
      </c>
      <c r="G233" s="5" t="s">
        <v>24</v>
      </c>
      <c r="H233" s="6" t="n">
        <v>8000</v>
      </c>
      <c r="I233" s="5" t="n">
        <v>3</v>
      </c>
      <c r="J233" s="6" t="n">
        <v>26160</v>
      </c>
      <c r="K233" s="6" t="n">
        <v>24480</v>
      </c>
      <c r="L233" s="7" t="n">
        <v>1.06862745098039</v>
      </c>
      <c r="M233" s="5" t="s">
        <v>177</v>
      </c>
      <c r="N233" s="5" t="s">
        <v>210</v>
      </c>
    </row>
    <row r="234" customFormat="false" ht="15" hidden="false" customHeight="false" outlineLevel="0" collapsed="false">
      <c r="A234" s="2" t="n">
        <v>1233</v>
      </c>
      <c r="B234" s="2" t="s">
        <v>216</v>
      </c>
      <c r="C234" s="2" t="s">
        <v>46</v>
      </c>
      <c r="D234" s="2" t="s">
        <v>30</v>
      </c>
      <c r="E234" s="2" t="s">
        <v>40</v>
      </c>
      <c r="F234" s="2" t="s">
        <v>44</v>
      </c>
      <c r="G234" s="2" t="s">
        <v>19</v>
      </c>
      <c r="H234" s="3" t="n">
        <v>18000</v>
      </c>
      <c r="I234" s="2" t="n">
        <v>9</v>
      </c>
      <c r="J234" s="3" t="n">
        <v>150660</v>
      </c>
      <c r="K234" s="3" t="n">
        <v>150660</v>
      </c>
      <c r="L234" s="4" t="n">
        <v>1</v>
      </c>
      <c r="M234" s="2" t="s">
        <v>177</v>
      </c>
      <c r="N234" s="2" t="s">
        <v>210</v>
      </c>
    </row>
    <row r="235" customFormat="false" ht="15" hidden="false" customHeight="false" outlineLevel="0" collapsed="false">
      <c r="A235" s="5" t="n">
        <v>1234</v>
      </c>
      <c r="B235" s="5" t="s">
        <v>214</v>
      </c>
      <c r="C235" s="5" t="s">
        <v>47</v>
      </c>
      <c r="D235" s="5" t="s">
        <v>35</v>
      </c>
      <c r="E235" s="5" t="s">
        <v>17</v>
      </c>
      <c r="F235" s="5" t="s">
        <v>44</v>
      </c>
      <c r="G235" s="5" t="s">
        <v>19</v>
      </c>
      <c r="H235" s="6" t="n">
        <v>18000</v>
      </c>
      <c r="I235" s="5" t="n">
        <v>1</v>
      </c>
      <c r="J235" s="6" t="n">
        <v>17280</v>
      </c>
      <c r="K235" s="6" t="n">
        <v>19080</v>
      </c>
      <c r="L235" s="7" t="n">
        <v>0.905660377358491</v>
      </c>
      <c r="M235" s="5" t="s">
        <v>177</v>
      </c>
      <c r="N235" s="5" t="s">
        <v>210</v>
      </c>
    </row>
    <row r="236" customFormat="false" ht="15" hidden="false" customHeight="false" outlineLevel="0" collapsed="false">
      <c r="A236" s="2" t="n">
        <v>1235</v>
      </c>
      <c r="B236" s="2" t="s">
        <v>217</v>
      </c>
      <c r="C236" s="2" t="s">
        <v>49</v>
      </c>
      <c r="D236" s="2" t="s">
        <v>39</v>
      </c>
      <c r="E236" s="2" t="s">
        <v>31</v>
      </c>
      <c r="F236" s="2" t="s">
        <v>18</v>
      </c>
      <c r="G236" s="2" t="s">
        <v>19</v>
      </c>
      <c r="H236" s="3" t="n">
        <v>12000</v>
      </c>
      <c r="I236" s="2" t="n">
        <v>3</v>
      </c>
      <c r="J236" s="3" t="n">
        <v>33480</v>
      </c>
      <c r="K236" s="3" t="n">
        <v>33480</v>
      </c>
      <c r="L236" s="4" t="n">
        <v>1</v>
      </c>
      <c r="M236" s="2" t="s">
        <v>177</v>
      </c>
      <c r="N236" s="2" t="s">
        <v>210</v>
      </c>
    </row>
    <row r="237" customFormat="false" ht="15" hidden="false" customHeight="false" outlineLevel="0" collapsed="false">
      <c r="A237" s="5" t="n">
        <v>1236</v>
      </c>
      <c r="B237" s="5" t="s">
        <v>218</v>
      </c>
      <c r="C237" s="5" t="s">
        <v>49</v>
      </c>
      <c r="D237" s="5" t="s">
        <v>39</v>
      </c>
      <c r="E237" s="5" t="s">
        <v>31</v>
      </c>
      <c r="F237" s="5" t="s">
        <v>26</v>
      </c>
      <c r="G237" s="5" t="s">
        <v>27</v>
      </c>
      <c r="H237" s="6" t="n">
        <v>15000</v>
      </c>
      <c r="I237" s="5" t="n">
        <v>2</v>
      </c>
      <c r="J237" s="6" t="n">
        <v>32100</v>
      </c>
      <c r="K237" s="6" t="n">
        <v>30000</v>
      </c>
      <c r="L237" s="7" t="n">
        <v>1.07</v>
      </c>
      <c r="M237" s="5" t="s">
        <v>177</v>
      </c>
      <c r="N237" s="5" t="s">
        <v>210</v>
      </c>
    </row>
    <row r="238" customFormat="false" ht="15" hidden="false" customHeight="false" outlineLevel="0" collapsed="false">
      <c r="A238" s="2" t="n">
        <v>1237</v>
      </c>
      <c r="B238" s="2" t="s">
        <v>219</v>
      </c>
      <c r="C238" s="2" t="s">
        <v>50</v>
      </c>
      <c r="D238" s="2" t="s">
        <v>16</v>
      </c>
      <c r="E238" s="2" t="s">
        <v>40</v>
      </c>
      <c r="F238" s="2" t="s">
        <v>26</v>
      </c>
      <c r="G238" s="2" t="s">
        <v>27</v>
      </c>
      <c r="H238" s="3" t="n">
        <v>15000</v>
      </c>
      <c r="I238" s="2" t="n">
        <v>10</v>
      </c>
      <c r="J238" s="3" t="n">
        <v>132000</v>
      </c>
      <c r="K238" s="3" t="n">
        <v>150000</v>
      </c>
      <c r="L238" s="4" t="n">
        <v>0.88</v>
      </c>
      <c r="M238" s="2" t="s">
        <v>177</v>
      </c>
      <c r="N238" s="2" t="s">
        <v>210</v>
      </c>
    </row>
    <row r="239" customFormat="false" ht="15" hidden="false" customHeight="false" outlineLevel="0" collapsed="false">
      <c r="A239" s="5" t="n">
        <v>1238</v>
      </c>
      <c r="B239" s="5" t="s">
        <v>213</v>
      </c>
      <c r="C239" s="5" t="s">
        <v>50</v>
      </c>
      <c r="D239" s="5" t="s">
        <v>16</v>
      </c>
      <c r="E239" s="5" t="s">
        <v>40</v>
      </c>
      <c r="F239" s="5" t="s">
        <v>18</v>
      </c>
      <c r="G239" s="5" t="s">
        <v>19</v>
      </c>
      <c r="H239" s="6" t="n">
        <v>12000</v>
      </c>
      <c r="I239" s="5" t="n">
        <v>9</v>
      </c>
      <c r="J239" s="6" t="n">
        <v>101520</v>
      </c>
      <c r="K239" s="6" t="n">
        <v>111240</v>
      </c>
      <c r="L239" s="7" t="n">
        <v>0.912621359223301</v>
      </c>
      <c r="M239" s="5" t="s">
        <v>177</v>
      </c>
      <c r="N239" s="5" t="s">
        <v>210</v>
      </c>
    </row>
    <row r="240" customFormat="false" ht="15" hidden="false" customHeight="false" outlineLevel="0" collapsed="false">
      <c r="A240" s="2" t="n">
        <v>1239</v>
      </c>
      <c r="B240" s="2" t="s">
        <v>220</v>
      </c>
      <c r="C240" s="2" t="s">
        <v>51</v>
      </c>
      <c r="D240" s="2" t="s">
        <v>30</v>
      </c>
      <c r="E240" s="2" t="s">
        <v>17</v>
      </c>
      <c r="F240" s="2" t="s">
        <v>56</v>
      </c>
      <c r="G240" s="2" t="s">
        <v>57</v>
      </c>
      <c r="H240" s="3" t="n">
        <v>25000</v>
      </c>
      <c r="I240" s="2" t="n">
        <v>7</v>
      </c>
      <c r="J240" s="3" t="n">
        <v>171500</v>
      </c>
      <c r="K240" s="3" t="n">
        <v>161000</v>
      </c>
      <c r="L240" s="4" t="n">
        <v>1.06521739130435</v>
      </c>
      <c r="M240" s="2" t="s">
        <v>177</v>
      </c>
      <c r="N240" s="2" t="s">
        <v>210</v>
      </c>
    </row>
  </sheetData>
  <conditionalFormatting sqref="L2:L240">
    <cfRule type="colorScale" priority="2">
      <colorScale>
        <cfvo type="num" val="0.5"/>
        <cfvo type="num" val="1"/>
        <cfvo type="num" val="1.5"/>
        <color rgb="FFFF0000"/>
        <color rgb="FFFFFF00"/>
        <color rgb="FF70AD47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8"/>
  </cols>
  <sheetData>
    <row r="1" customFormat="false" ht="34.5" hidden="false" customHeight="true" outlineLevel="0" collapsed="false">
      <c r="A1" s="8" t="s">
        <v>221</v>
      </c>
      <c r="B1" s="8"/>
      <c r="C1" s="8"/>
      <c r="D1" s="8"/>
    </row>
    <row r="2" customFormat="false" ht="15" hidden="false" customHeight="false" outlineLevel="0" collapsed="false">
      <c r="A2" s="9" t="s">
        <v>2</v>
      </c>
      <c r="B2" s="9" t="s">
        <v>3</v>
      </c>
      <c r="C2" s="9" t="s">
        <v>4</v>
      </c>
      <c r="D2" s="9" t="s">
        <v>222</v>
      </c>
    </row>
    <row r="3" customFormat="false" ht="15" hidden="false" customHeight="false" outlineLevel="0" collapsed="false">
      <c r="A3" s="2" t="s">
        <v>15</v>
      </c>
      <c r="B3" s="2" t="s">
        <v>16</v>
      </c>
      <c r="C3" s="2" t="s">
        <v>17</v>
      </c>
      <c r="D3" s="10" t="n">
        <v>1730217</v>
      </c>
    </row>
    <row r="4" customFormat="false" ht="15" hidden="false" customHeight="false" outlineLevel="0" collapsed="false">
      <c r="A4" s="5" t="s">
        <v>29</v>
      </c>
      <c r="B4" s="5" t="s">
        <v>30</v>
      </c>
      <c r="C4" s="5" t="s">
        <v>31</v>
      </c>
      <c r="D4" s="11" t="n">
        <v>954121</v>
      </c>
    </row>
    <row r="5" customFormat="false" ht="15" hidden="false" customHeight="false" outlineLevel="0" collapsed="false">
      <c r="A5" s="2" t="s">
        <v>34</v>
      </c>
      <c r="B5" s="2" t="s">
        <v>35</v>
      </c>
      <c r="C5" s="2" t="s">
        <v>17</v>
      </c>
      <c r="D5" s="10" t="n">
        <v>969429</v>
      </c>
    </row>
    <row r="6" customFormat="false" ht="15" hidden="false" customHeight="false" outlineLevel="0" collapsed="false">
      <c r="A6" s="5" t="s">
        <v>38</v>
      </c>
      <c r="B6" s="5" t="s">
        <v>39</v>
      </c>
      <c r="C6" s="5" t="s">
        <v>40</v>
      </c>
      <c r="D6" s="11" t="n">
        <v>1475517</v>
      </c>
    </row>
    <row r="7" customFormat="false" ht="15" hidden="false" customHeight="false" outlineLevel="0" collapsed="false">
      <c r="A7" s="2" t="s">
        <v>43</v>
      </c>
      <c r="B7" s="2" t="s">
        <v>16</v>
      </c>
      <c r="C7" s="2" t="s">
        <v>31</v>
      </c>
      <c r="D7" s="10" t="n">
        <v>1111078</v>
      </c>
    </row>
    <row r="8" customFormat="false" ht="15" hidden="false" customHeight="false" outlineLevel="0" collapsed="false">
      <c r="A8" s="5" t="s">
        <v>46</v>
      </c>
      <c r="B8" s="5" t="s">
        <v>30</v>
      </c>
      <c r="C8" s="5" t="s">
        <v>40</v>
      </c>
      <c r="D8" s="11" t="n">
        <v>937745</v>
      </c>
    </row>
    <row r="9" customFormat="false" ht="15" hidden="false" customHeight="false" outlineLevel="0" collapsed="false">
      <c r="A9" s="2" t="s">
        <v>47</v>
      </c>
      <c r="B9" s="2" t="s">
        <v>35</v>
      </c>
      <c r="C9" s="2" t="s">
        <v>17</v>
      </c>
      <c r="D9" s="10" t="n">
        <v>1064642</v>
      </c>
    </row>
    <row r="10" customFormat="false" ht="15" hidden="false" customHeight="false" outlineLevel="0" collapsed="false">
      <c r="A10" s="5" t="s">
        <v>49</v>
      </c>
      <c r="B10" s="5" t="s">
        <v>39</v>
      </c>
      <c r="C10" s="5" t="s">
        <v>31</v>
      </c>
      <c r="D10" s="11" t="n">
        <v>1376750</v>
      </c>
    </row>
    <row r="11" customFormat="false" ht="15" hidden="false" customHeight="false" outlineLevel="0" collapsed="false">
      <c r="A11" s="2" t="s">
        <v>50</v>
      </c>
      <c r="B11" s="2" t="s">
        <v>16</v>
      </c>
      <c r="C11" s="2" t="s">
        <v>40</v>
      </c>
      <c r="D11" s="10" t="n">
        <v>1949986</v>
      </c>
    </row>
    <row r="12" customFormat="false" ht="15" hidden="false" customHeight="false" outlineLevel="0" collapsed="false">
      <c r="A12" s="5" t="s">
        <v>51</v>
      </c>
      <c r="B12" s="5" t="s">
        <v>30</v>
      </c>
      <c r="C12" s="5" t="s">
        <v>17</v>
      </c>
      <c r="D12" s="11" t="n">
        <v>1481963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13" min="2" style="0" width="13"/>
    <col collapsed="false" customWidth="true" hidden="false" outlineLevel="0" max="14" min="14" style="0" width="15"/>
  </cols>
  <sheetData>
    <row r="1" customFormat="false" ht="34.5" hidden="false" customHeight="true" outlineLevel="0" collapsed="false">
      <c r="A1" s="8" t="s">
        <v>223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customFormat="false" ht="15" hidden="false" customHeight="false" outlineLevel="0" collapsed="false">
      <c r="A2" s="9" t="s">
        <v>2</v>
      </c>
      <c r="B2" s="9" t="s">
        <v>21</v>
      </c>
      <c r="C2" s="9" t="s">
        <v>53</v>
      </c>
      <c r="D2" s="9" t="s">
        <v>65</v>
      </c>
      <c r="E2" s="9" t="s">
        <v>79</v>
      </c>
      <c r="F2" s="9" t="s">
        <v>96</v>
      </c>
      <c r="G2" s="9" t="s">
        <v>111</v>
      </c>
      <c r="H2" s="9" t="s">
        <v>126</v>
      </c>
      <c r="I2" s="9" t="s">
        <v>144</v>
      </c>
      <c r="J2" s="9" t="s">
        <v>158</v>
      </c>
      <c r="K2" s="9" t="s">
        <v>178</v>
      </c>
      <c r="L2" s="9" t="s">
        <v>193</v>
      </c>
      <c r="M2" s="9" t="s">
        <v>210</v>
      </c>
      <c r="N2" s="12" t="s">
        <v>224</v>
      </c>
    </row>
    <row r="3" customFormat="false" ht="15" hidden="false" customHeight="false" outlineLevel="0" collapsed="false">
      <c r="A3" s="2" t="s">
        <v>15</v>
      </c>
      <c r="B3" s="13" t="n">
        <v>145140</v>
      </c>
      <c r="C3" s="13" t="n">
        <v>162000</v>
      </c>
      <c r="D3" s="13" t="n">
        <v>147510</v>
      </c>
      <c r="E3" s="13" t="n">
        <v>287500</v>
      </c>
      <c r="F3" s="13" t="n">
        <v>76880</v>
      </c>
      <c r="G3" s="13" t="n">
        <v>216800</v>
      </c>
      <c r="H3" s="13" t="n">
        <v>151200</v>
      </c>
      <c r="I3" s="13" t="n">
        <v>233680</v>
      </c>
      <c r="J3" s="13" t="n">
        <v>236760</v>
      </c>
      <c r="K3" s="13" t="n">
        <v>278290</v>
      </c>
      <c r="L3" s="13" t="n">
        <v>128520</v>
      </c>
      <c r="M3" s="13" t="n">
        <v>110400</v>
      </c>
      <c r="N3" s="14" t="n">
        <f aca="false">SUM(B3:M3)</f>
        <v>2174680</v>
      </c>
    </row>
    <row r="4" customFormat="false" ht="15" hidden="false" customHeight="false" outlineLevel="0" collapsed="false">
      <c r="A4" s="5" t="s">
        <v>29</v>
      </c>
      <c r="B4" s="15" t="n">
        <v>150060</v>
      </c>
      <c r="C4" s="15" t="n">
        <v>58860</v>
      </c>
      <c r="D4" s="15" t="n">
        <v>291360</v>
      </c>
      <c r="E4" s="15" t="n">
        <v>355180</v>
      </c>
      <c r="F4" s="15" t="n">
        <v>120520</v>
      </c>
      <c r="G4" s="15" t="n">
        <v>49680</v>
      </c>
      <c r="H4" s="15" t="n">
        <v>151200</v>
      </c>
      <c r="I4" s="15" t="n">
        <v>148800</v>
      </c>
      <c r="J4" s="15" t="n">
        <v>329600</v>
      </c>
      <c r="K4" s="15" t="n">
        <v>22250</v>
      </c>
      <c r="L4" s="15" t="n">
        <v>100520</v>
      </c>
      <c r="M4" s="15" t="n">
        <v>150840</v>
      </c>
      <c r="N4" s="14" t="n">
        <f aca="false">SUM(B4:M4)</f>
        <v>1928870</v>
      </c>
    </row>
    <row r="5" customFormat="false" ht="15" hidden="false" customHeight="false" outlineLevel="0" collapsed="false">
      <c r="A5" s="2" t="s">
        <v>34</v>
      </c>
      <c r="B5" s="13" t="n">
        <v>14080</v>
      </c>
      <c r="C5" s="13" t="n">
        <v>312700</v>
      </c>
      <c r="D5" s="13" t="n">
        <v>134310</v>
      </c>
      <c r="E5" s="13" t="n">
        <v>160640</v>
      </c>
      <c r="F5" s="13" t="n">
        <v>200480</v>
      </c>
      <c r="G5" s="13" t="n">
        <v>81480</v>
      </c>
      <c r="H5" s="13" t="n">
        <v>16950</v>
      </c>
      <c r="I5" s="13" t="n">
        <v>260100</v>
      </c>
      <c r="J5" s="13" t="n">
        <v>431200</v>
      </c>
      <c r="K5" s="13" t="n">
        <v>50500</v>
      </c>
      <c r="L5" s="13" t="n">
        <v>274950</v>
      </c>
      <c r="M5" s="13" t="n">
        <v>116160</v>
      </c>
      <c r="N5" s="14" t="n">
        <f aca="false">SUM(B5:M5)</f>
        <v>2053550</v>
      </c>
    </row>
    <row r="6" customFormat="false" ht="15" hidden="false" customHeight="false" outlineLevel="0" collapsed="false">
      <c r="A6" s="5" t="s">
        <v>38</v>
      </c>
      <c r="B6" s="15" t="n">
        <v>154830</v>
      </c>
      <c r="C6" s="15" t="n">
        <v>195040</v>
      </c>
      <c r="D6" s="15" t="n">
        <v>53220</v>
      </c>
      <c r="E6" s="15" t="n">
        <v>202720</v>
      </c>
      <c r="F6" s="15" t="n">
        <v>182280</v>
      </c>
      <c r="G6" s="15" t="n">
        <v>122220</v>
      </c>
      <c r="H6" s="15" t="n">
        <v>107760</v>
      </c>
      <c r="I6" s="15" t="n">
        <v>379040</v>
      </c>
      <c r="J6" s="15" t="n">
        <v>149010</v>
      </c>
      <c r="K6" s="15" t="n">
        <v>65250</v>
      </c>
      <c r="L6" s="15" t="n">
        <v>117180</v>
      </c>
      <c r="M6" s="15" t="n">
        <v>98280</v>
      </c>
      <c r="N6" s="14" t="n">
        <f aca="false">SUM(B6:M6)</f>
        <v>1826830</v>
      </c>
    </row>
    <row r="7" customFormat="false" ht="15" hidden="false" customHeight="false" outlineLevel="0" collapsed="false">
      <c r="A7" s="2" t="s">
        <v>43</v>
      </c>
      <c r="B7" s="13" t="n">
        <v>254420</v>
      </c>
      <c r="C7" s="13" t="n">
        <v>24240</v>
      </c>
      <c r="D7" s="13" t="n">
        <v>289100</v>
      </c>
      <c r="E7" s="13" t="n">
        <v>163200</v>
      </c>
      <c r="F7" s="13" t="n">
        <v>283440</v>
      </c>
      <c r="G7" s="13" t="n">
        <v>103950</v>
      </c>
      <c r="H7" s="13" t="n">
        <v>410000</v>
      </c>
      <c r="I7" s="13" t="n">
        <v>13500</v>
      </c>
      <c r="J7" s="13" t="n">
        <v>448380</v>
      </c>
      <c r="K7" s="13" t="n">
        <v>282000</v>
      </c>
      <c r="L7" s="13" t="n">
        <v>160800</v>
      </c>
      <c r="M7" s="13" t="n">
        <v>26160</v>
      </c>
      <c r="N7" s="14" t="n">
        <f aca="false">SUM(B7:M7)</f>
        <v>2459190</v>
      </c>
    </row>
    <row r="8" customFormat="false" ht="15" hidden="false" customHeight="false" outlineLevel="0" collapsed="false">
      <c r="A8" s="5" t="s">
        <v>46</v>
      </c>
      <c r="B8" s="15" t="n">
        <v>43680</v>
      </c>
      <c r="C8" s="15" t="n">
        <v>90000</v>
      </c>
      <c r="D8" s="15" t="n">
        <v>167360</v>
      </c>
      <c r="E8" s="15" t="n">
        <v>36360</v>
      </c>
      <c r="F8" s="15" t="n">
        <v>65880</v>
      </c>
      <c r="G8" s="15" t="n">
        <v>373230</v>
      </c>
      <c r="H8" s="15" t="n">
        <v>146000</v>
      </c>
      <c r="I8" s="15" t="n">
        <v>36720</v>
      </c>
      <c r="J8" s="15" t="n">
        <v>435000</v>
      </c>
      <c r="K8" s="15" t="n">
        <v>49840</v>
      </c>
      <c r="L8" s="15" t="n">
        <v>159600</v>
      </c>
      <c r="M8" s="15" t="n">
        <v>150660</v>
      </c>
      <c r="N8" s="14" t="n">
        <f aca="false">SUM(B8:M8)</f>
        <v>1754330</v>
      </c>
    </row>
    <row r="9" customFormat="false" ht="15" hidden="false" customHeight="false" outlineLevel="0" collapsed="false">
      <c r="A9" s="2" t="s">
        <v>47</v>
      </c>
      <c r="B9" s="13" t="n">
        <v>428640</v>
      </c>
      <c r="C9" s="13" t="n">
        <v>121200</v>
      </c>
      <c r="D9" s="13" t="n">
        <v>370560</v>
      </c>
      <c r="E9" s="13" t="n">
        <v>258300</v>
      </c>
      <c r="F9" s="13" t="n">
        <v>196000</v>
      </c>
      <c r="G9" s="13" t="n">
        <v>176020</v>
      </c>
      <c r="H9" s="13" t="n">
        <v>299100</v>
      </c>
      <c r="I9" s="13" t="n">
        <v>299420</v>
      </c>
      <c r="J9" s="13" t="n">
        <v>338240</v>
      </c>
      <c r="K9" s="13" t="n">
        <v>186680</v>
      </c>
      <c r="L9" s="13" t="n">
        <v>23250</v>
      </c>
      <c r="M9" s="13" t="n">
        <v>17280</v>
      </c>
      <c r="N9" s="14" t="n">
        <f aca="false">SUM(B9:M9)</f>
        <v>2714690</v>
      </c>
    </row>
    <row r="10" customFormat="false" ht="15" hidden="false" customHeight="false" outlineLevel="0" collapsed="false">
      <c r="A10" s="5" t="s">
        <v>49</v>
      </c>
      <c r="B10" s="15" t="n">
        <v>19620</v>
      </c>
      <c r="C10" s="15" t="n">
        <v>162720</v>
      </c>
      <c r="D10" s="15" t="n">
        <v>77600</v>
      </c>
      <c r="E10" s="15" t="n">
        <v>281280</v>
      </c>
      <c r="F10" s="15" t="n">
        <v>398120</v>
      </c>
      <c r="G10" s="15" t="n">
        <v>93540</v>
      </c>
      <c r="H10" s="15" t="n">
        <v>315590</v>
      </c>
      <c r="I10" s="15" t="n">
        <v>53460</v>
      </c>
      <c r="J10" s="15" t="n">
        <v>243450</v>
      </c>
      <c r="K10" s="15" t="n">
        <v>46980</v>
      </c>
      <c r="L10" s="15" t="n">
        <v>224120</v>
      </c>
      <c r="M10" s="15" t="n">
        <v>65580</v>
      </c>
      <c r="N10" s="14" t="n">
        <f aca="false">SUM(B10:M10)</f>
        <v>1982060</v>
      </c>
    </row>
    <row r="11" customFormat="false" ht="15" hidden="false" customHeight="false" outlineLevel="0" collapsed="false">
      <c r="A11" s="2" t="s">
        <v>50</v>
      </c>
      <c r="B11" s="13" t="n">
        <v>81900</v>
      </c>
      <c r="C11" s="13" t="n">
        <v>423050</v>
      </c>
      <c r="D11" s="13" t="n">
        <v>129000</v>
      </c>
      <c r="E11" s="13" t="n">
        <v>132320</v>
      </c>
      <c r="F11" s="13" t="n">
        <v>81750</v>
      </c>
      <c r="G11" s="13" t="n">
        <v>49440</v>
      </c>
      <c r="H11" s="13" t="n">
        <v>205440</v>
      </c>
      <c r="I11" s="13" t="n">
        <v>98120</v>
      </c>
      <c r="J11" s="13" t="n">
        <v>233700</v>
      </c>
      <c r="K11" s="13" t="n">
        <v>391530</v>
      </c>
      <c r="L11" s="13" t="n">
        <v>173000</v>
      </c>
      <c r="M11" s="13" t="n">
        <v>233520</v>
      </c>
      <c r="N11" s="14" t="n">
        <f aca="false">SUM(B11:M11)</f>
        <v>2232770</v>
      </c>
    </row>
    <row r="12" customFormat="false" ht="15" hidden="false" customHeight="false" outlineLevel="0" collapsed="false">
      <c r="A12" s="5" t="s">
        <v>51</v>
      </c>
      <c r="B12" s="15" t="n">
        <v>158500</v>
      </c>
      <c r="C12" s="15" t="n">
        <v>133440</v>
      </c>
      <c r="D12" s="15" t="n">
        <v>336300</v>
      </c>
      <c r="E12" s="15" t="n">
        <v>77600</v>
      </c>
      <c r="F12" s="15" t="n">
        <v>472420</v>
      </c>
      <c r="G12" s="15" t="n">
        <v>43680</v>
      </c>
      <c r="H12" s="15" t="n">
        <v>405750</v>
      </c>
      <c r="I12" s="15" t="n">
        <v>243400</v>
      </c>
      <c r="J12" s="15" t="n">
        <v>276540</v>
      </c>
      <c r="K12" s="15" t="n">
        <v>191750</v>
      </c>
      <c r="L12" s="15" t="n">
        <v>356140</v>
      </c>
      <c r="M12" s="15" t="n">
        <v>171500</v>
      </c>
      <c r="N12" s="14" t="n">
        <f aca="false">SUM(B12:M12)</f>
        <v>2867020</v>
      </c>
    </row>
    <row r="13" customFormat="false" ht="15" hidden="false" customHeight="false" outlineLevel="0" collapsed="false">
      <c r="A13" s="16" t="s">
        <v>225</v>
      </c>
      <c r="B13" s="17" t="n">
        <f aca="false">SUM(B3:B12)</f>
        <v>1450870</v>
      </c>
      <c r="C13" s="17" t="n">
        <f aca="false">SUM(C3:C12)</f>
        <v>1683250</v>
      </c>
      <c r="D13" s="17" t="n">
        <f aca="false">SUM(D3:D12)</f>
        <v>1996320</v>
      </c>
      <c r="E13" s="17" t="n">
        <f aca="false">SUM(E3:E12)</f>
        <v>1955100</v>
      </c>
      <c r="F13" s="17" t="n">
        <f aca="false">SUM(F3:F12)</f>
        <v>2077770</v>
      </c>
      <c r="G13" s="17" t="n">
        <f aca="false">SUM(G3:G12)</f>
        <v>1310040</v>
      </c>
      <c r="H13" s="17" t="n">
        <f aca="false">SUM(H3:H12)</f>
        <v>2208990</v>
      </c>
      <c r="I13" s="17" t="n">
        <f aca="false">SUM(I3:I12)</f>
        <v>1766240</v>
      </c>
      <c r="J13" s="17" t="n">
        <f aca="false">SUM(J3:J12)</f>
        <v>3121880</v>
      </c>
      <c r="K13" s="17" t="n">
        <f aca="false">SUM(K3:K12)</f>
        <v>1565070</v>
      </c>
      <c r="L13" s="17" t="n">
        <f aca="false">SUM(L3:L12)</f>
        <v>1718080</v>
      </c>
      <c r="M13" s="17" t="n">
        <f aca="false">SUM(M3:M12)</f>
        <v>1140380</v>
      </c>
      <c r="N13" s="18" t="n">
        <f aca="false">SUM(B13:M13)</f>
        <v>21993990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6"/>
  </cols>
  <sheetData>
    <row r="1" customFormat="false" ht="21.75" hidden="false" customHeight="true" outlineLevel="0" collapsed="false">
      <c r="A1" s="19" t="s">
        <v>226</v>
      </c>
      <c r="B1" s="19"/>
      <c r="C1" s="19"/>
      <c r="D1" s="19"/>
      <c r="E1" s="19"/>
      <c r="F1" s="19"/>
      <c r="G1" s="19"/>
      <c r="H1" s="19"/>
    </row>
    <row r="2" customFormat="false" ht="21.75" hidden="false" customHeight="true" outlineLevel="0" collapsed="false"/>
    <row r="3" customFormat="false" ht="21.75" hidden="false" customHeight="true" outlineLevel="0" collapsed="false">
      <c r="A3" s="20" t="s">
        <v>227</v>
      </c>
      <c r="B3" s="20"/>
      <c r="C3" s="21" t="s">
        <v>228</v>
      </c>
      <c r="D3" s="21"/>
      <c r="E3" s="22" t="s">
        <v>229</v>
      </c>
      <c r="F3" s="22"/>
      <c r="G3" s="23" t="s">
        <v>230</v>
      </c>
      <c r="H3" s="23"/>
    </row>
    <row r="4" customFormat="false" ht="21.75" hidden="false" customHeight="true" outlineLevel="0" collapsed="false">
      <c r="A4" s="20"/>
      <c r="B4" s="20"/>
      <c r="C4" s="21"/>
      <c r="D4" s="21"/>
      <c r="E4" s="22"/>
      <c r="F4" s="22"/>
      <c r="G4" s="23"/>
      <c r="H4" s="23"/>
    </row>
    <row r="5" customFormat="false" ht="21.75" hidden="false" customHeight="true" outlineLevel="0" collapsed="false">
      <c r="A5" s="24" t="n">
        <f aca="false">SUM('Sales Data'!J2:J5000)</f>
        <v>21993990</v>
      </c>
      <c r="B5" s="24"/>
      <c r="C5" s="24" t="n">
        <f aca="false">SUM('Sales Data'!K2:K5000)</f>
        <v>22021950</v>
      </c>
      <c r="D5" s="24"/>
      <c r="E5" s="25" t="n">
        <f aca="false">AVERAGE('Sales Data'!L2:L5000)</f>
        <v>0.998139582157692</v>
      </c>
      <c r="F5" s="25"/>
      <c r="G5" s="26" t="n">
        <f aca="false">COUNTA('Sales Data'!A2:A5000)</f>
        <v>239</v>
      </c>
      <c r="H5" s="26"/>
    </row>
    <row r="6" customFormat="false" ht="21.75" hidden="false" customHeight="true" outlineLevel="0" collapsed="false">
      <c r="A6" s="24"/>
      <c r="B6" s="24"/>
      <c r="C6" s="24"/>
      <c r="D6" s="24"/>
      <c r="E6" s="25"/>
      <c r="F6" s="25"/>
      <c r="G6" s="26"/>
      <c r="H6" s="26"/>
    </row>
    <row r="7" customFormat="false" ht="21.75" hidden="false" customHeight="true" outlineLevel="0" collapsed="false">
      <c r="A7" s="24"/>
      <c r="B7" s="24"/>
      <c r="C7" s="24"/>
      <c r="D7" s="24"/>
      <c r="E7" s="25"/>
      <c r="F7" s="25"/>
      <c r="G7" s="26"/>
      <c r="H7" s="26"/>
    </row>
    <row r="8" customFormat="false" ht="21.75" hidden="false" customHeight="true" outlineLevel="0" collapsed="false"/>
    <row r="9" customFormat="false" ht="21.75" hidden="false" customHeight="true" outlineLevel="0" collapsed="false">
      <c r="A9" s="27" t="s">
        <v>231</v>
      </c>
      <c r="B9" s="27"/>
      <c r="C9" s="27"/>
      <c r="D9" s="27"/>
      <c r="E9" s="27"/>
      <c r="F9" s="27"/>
      <c r="G9" s="27"/>
      <c r="H9" s="27"/>
    </row>
    <row r="10" customFormat="false" ht="21.75" hidden="false" customHeight="true" outlineLevel="0" collapsed="false">
      <c r="A10" s="28" t="s">
        <v>2</v>
      </c>
      <c r="B10" s="28" t="s">
        <v>3</v>
      </c>
      <c r="C10" s="28" t="s">
        <v>4</v>
      </c>
      <c r="D10" s="28" t="s">
        <v>232</v>
      </c>
      <c r="E10" s="28" t="s">
        <v>233</v>
      </c>
      <c r="F10" s="28" t="s">
        <v>234</v>
      </c>
      <c r="G10" s="28" t="s">
        <v>235</v>
      </c>
      <c r="H10" s="28" t="s">
        <v>236</v>
      </c>
    </row>
    <row r="11" customFormat="false" ht="21.75" hidden="false" customHeight="true" outlineLevel="0" collapsed="false">
      <c r="A11" s="29" t="s">
        <v>15</v>
      </c>
      <c r="B11" s="29" t="s">
        <v>16</v>
      </c>
      <c r="C11" s="29" t="s">
        <v>17</v>
      </c>
      <c r="D11" s="13" t="n">
        <f aca="false">SUMIF('Sales Data'!C:C,A11,'Sales Data'!J:J)</f>
        <v>2174680</v>
      </c>
      <c r="E11" s="13" t="n">
        <f aca="false">SUMIF('Sales Data'!C:C,A11,'Sales Data'!K:K)</f>
        <v>2148260</v>
      </c>
      <c r="F11" s="30" t="n">
        <f aca="false">IFERROR(D11/E11,0)</f>
        <v>1.01229832515617</v>
      </c>
      <c r="G11" s="13" t="n">
        <f aca="false">COUNTIF('Sales Data'!C:C,A11)</f>
        <v>20</v>
      </c>
      <c r="H11" s="13" t="n">
        <f aca="false">IFERROR(D11/G11,0)</f>
        <v>108734</v>
      </c>
    </row>
    <row r="12" customFormat="false" ht="21.75" hidden="false" customHeight="true" outlineLevel="0" collapsed="false">
      <c r="A12" s="31" t="s">
        <v>29</v>
      </c>
      <c r="B12" s="31" t="s">
        <v>30</v>
      </c>
      <c r="C12" s="31" t="s">
        <v>31</v>
      </c>
      <c r="D12" s="32" t="n">
        <f aca="false">SUMIF('Sales Data'!C:C,A12,'Sales Data'!J:J)</f>
        <v>1928870</v>
      </c>
      <c r="E12" s="32" t="n">
        <f aca="false">SUMIF('Sales Data'!C:C,A12,'Sales Data'!K:K)</f>
        <v>1945530</v>
      </c>
      <c r="F12" s="33" t="n">
        <f aca="false">IFERROR(D12/E12,0)</f>
        <v>0.991436780722991</v>
      </c>
      <c r="G12" s="32" t="n">
        <f aca="false">COUNTIF('Sales Data'!C:C,A12)</f>
        <v>23</v>
      </c>
      <c r="H12" s="32" t="n">
        <f aca="false">IFERROR(D12/G12,0)</f>
        <v>83863.9130434783</v>
      </c>
    </row>
    <row r="13" customFormat="false" ht="21.75" hidden="false" customHeight="true" outlineLevel="0" collapsed="false">
      <c r="A13" s="29" t="s">
        <v>34</v>
      </c>
      <c r="B13" s="29" t="s">
        <v>35</v>
      </c>
      <c r="C13" s="29" t="s">
        <v>17</v>
      </c>
      <c r="D13" s="13" t="n">
        <f aca="false">SUMIF('Sales Data'!C:C,A13,'Sales Data'!J:J)</f>
        <v>2053550</v>
      </c>
      <c r="E13" s="13" t="n">
        <f aca="false">SUMIF('Sales Data'!C:C,A13,'Sales Data'!K:K)</f>
        <v>1983700</v>
      </c>
      <c r="F13" s="30" t="n">
        <f aca="false">IFERROR(D13/E13,0)</f>
        <v>1.03521197761758</v>
      </c>
      <c r="G13" s="13" t="n">
        <f aca="false">COUNTIF('Sales Data'!C:C,A13)</f>
        <v>25</v>
      </c>
      <c r="H13" s="13" t="n">
        <f aca="false">IFERROR(D13/G13,0)</f>
        <v>82142</v>
      </c>
    </row>
    <row r="14" customFormat="false" ht="21.75" hidden="false" customHeight="true" outlineLevel="0" collapsed="false">
      <c r="A14" s="31" t="s">
        <v>38</v>
      </c>
      <c r="B14" s="31" t="s">
        <v>39</v>
      </c>
      <c r="C14" s="31" t="s">
        <v>40</v>
      </c>
      <c r="D14" s="32" t="n">
        <f aca="false">SUMIF('Sales Data'!C:C,A14,'Sales Data'!J:J)</f>
        <v>1826830</v>
      </c>
      <c r="E14" s="32" t="n">
        <f aca="false">SUMIF('Sales Data'!C:C,A14,'Sales Data'!K:K)</f>
        <v>1833740</v>
      </c>
      <c r="F14" s="33" t="n">
        <f aca="false">IFERROR(D14/E14,0)</f>
        <v>0.996231744958391</v>
      </c>
      <c r="G14" s="32" t="n">
        <f aca="false">COUNTIF('Sales Data'!C:C,A14)</f>
        <v>26</v>
      </c>
      <c r="H14" s="32" t="n">
        <f aca="false">IFERROR(D14/G14,0)</f>
        <v>70262.6923076923</v>
      </c>
    </row>
    <row r="15" customFormat="false" ht="21.75" hidden="false" customHeight="true" outlineLevel="0" collapsed="false">
      <c r="A15" s="29" t="s">
        <v>43</v>
      </c>
      <c r="B15" s="29" t="s">
        <v>16</v>
      </c>
      <c r="C15" s="29" t="s">
        <v>31</v>
      </c>
      <c r="D15" s="13" t="n">
        <f aca="false">SUMIF('Sales Data'!C:C,A15,'Sales Data'!J:J)</f>
        <v>2459190</v>
      </c>
      <c r="E15" s="13" t="n">
        <f aca="false">SUMIF('Sales Data'!C:C,A15,'Sales Data'!K:K)</f>
        <v>2494660</v>
      </c>
      <c r="F15" s="30" t="n">
        <f aca="false">IFERROR(D15/E15,0)</f>
        <v>0.985781629560742</v>
      </c>
      <c r="G15" s="13" t="n">
        <f aca="false">COUNTIF('Sales Data'!C:C,A15)</f>
        <v>24</v>
      </c>
      <c r="H15" s="13" t="n">
        <f aca="false">IFERROR(D15/G15,0)</f>
        <v>102466.25</v>
      </c>
    </row>
    <row r="16" customFormat="false" ht="21.75" hidden="false" customHeight="true" outlineLevel="0" collapsed="false">
      <c r="A16" s="31" t="s">
        <v>46</v>
      </c>
      <c r="B16" s="31" t="s">
        <v>30</v>
      </c>
      <c r="C16" s="31" t="s">
        <v>40</v>
      </c>
      <c r="D16" s="32" t="n">
        <f aca="false">SUMIF('Sales Data'!C:C,A16,'Sales Data'!J:J)</f>
        <v>1754330</v>
      </c>
      <c r="E16" s="32" t="n">
        <f aca="false">SUMIF('Sales Data'!C:C,A16,'Sales Data'!K:K)</f>
        <v>1706120</v>
      </c>
      <c r="F16" s="33" t="n">
        <f aca="false">IFERROR(D16/E16,0)</f>
        <v>1.0282570979767</v>
      </c>
      <c r="G16" s="32" t="n">
        <f aca="false">COUNTIF('Sales Data'!C:C,A16)</f>
        <v>19</v>
      </c>
      <c r="H16" s="32" t="n">
        <f aca="false">IFERROR(D16/G16,0)</f>
        <v>92333.1578947368</v>
      </c>
    </row>
    <row r="17" customFormat="false" ht="21.75" hidden="false" customHeight="true" outlineLevel="0" collapsed="false">
      <c r="A17" s="29" t="s">
        <v>47</v>
      </c>
      <c r="B17" s="29" t="s">
        <v>35</v>
      </c>
      <c r="C17" s="29" t="s">
        <v>17</v>
      </c>
      <c r="D17" s="13" t="n">
        <f aca="false">SUMIF('Sales Data'!C:C,A17,'Sales Data'!J:J)</f>
        <v>2714690</v>
      </c>
      <c r="E17" s="13" t="n">
        <f aca="false">SUMIF('Sales Data'!C:C,A17,'Sales Data'!K:K)</f>
        <v>2799150</v>
      </c>
      <c r="F17" s="30" t="n">
        <f aca="false">IFERROR(D17/E17,0)</f>
        <v>0.969826554489756</v>
      </c>
      <c r="G17" s="13" t="n">
        <f aca="false">COUNTIF('Sales Data'!C:C,A17)</f>
        <v>27</v>
      </c>
      <c r="H17" s="13" t="n">
        <f aca="false">IFERROR(D17/G17,0)</f>
        <v>100544.074074074</v>
      </c>
    </row>
    <row r="18" customFormat="false" ht="21.75" hidden="false" customHeight="true" outlineLevel="0" collapsed="false">
      <c r="A18" s="31" t="s">
        <v>49</v>
      </c>
      <c r="B18" s="31" t="s">
        <v>39</v>
      </c>
      <c r="C18" s="31" t="s">
        <v>31</v>
      </c>
      <c r="D18" s="32" t="n">
        <f aca="false">SUMIF('Sales Data'!C:C,A18,'Sales Data'!J:J)</f>
        <v>1982060</v>
      </c>
      <c r="E18" s="32" t="n">
        <f aca="false">SUMIF('Sales Data'!C:C,A18,'Sales Data'!K:K)</f>
        <v>1991370</v>
      </c>
      <c r="F18" s="33" t="n">
        <f aca="false">IFERROR(D18/E18,0)</f>
        <v>0.995324826626895</v>
      </c>
      <c r="G18" s="32" t="n">
        <f aca="false">COUNTIF('Sales Data'!C:C,A18)</f>
        <v>25</v>
      </c>
      <c r="H18" s="32" t="n">
        <f aca="false">IFERROR(D18/G18,0)</f>
        <v>79282.4</v>
      </c>
    </row>
    <row r="19" customFormat="false" ht="21.75" hidden="false" customHeight="true" outlineLevel="0" collapsed="false">
      <c r="A19" s="29" t="s">
        <v>50</v>
      </c>
      <c r="B19" s="29" t="s">
        <v>16</v>
      </c>
      <c r="C19" s="29" t="s">
        <v>40</v>
      </c>
      <c r="D19" s="13" t="n">
        <f aca="false">SUMIF('Sales Data'!C:C,A19,'Sales Data'!J:J)</f>
        <v>2232770</v>
      </c>
      <c r="E19" s="13" t="n">
        <f aca="false">SUMIF('Sales Data'!C:C,A19,'Sales Data'!K:K)</f>
        <v>2190670</v>
      </c>
      <c r="F19" s="30" t="n">
        <f aca="false">IFERROR(D19/E19,0)</f>
        <v>1.01921786485413</v>
      </c>
      <c r="G19" s="13" t="n">
        <f aca="false">COUNTIF('Sales Data'!C:C,A19)</f>
        <v>24</v>
      </c>
      <c r="H19" s="13" t="n">
        <f aca="false">IFERROR(D19/G19,0)</f>
        <v>93032.0833333333</v>
      </c>
    </row>
    <row r="20" customFormat="false" ht="15" hidden="false" customHeight="false" outlineLevel="0" collapsed="false">
      <c r="A20" s="31" t="s">
        <v>51</v>
      </c>
      <c r="B20" s="31" t="s">
        <v>30</v>
      </c>
      <c r="C20" s="31" t="s">
        <v>17</v>
      </c>
      <c r="D20" s="32" t="n">
        <f aca="false">SUMIF('Sales Data'!C:C,A20,'Sales Data'!J:J)</f>
        <v>2867020</v>
      </c>
      <c r="E20" s="32" t="n">
        <f aca="false">SUMIF('Sales Data'!C:C,A20,'Sales Data'!K:K)</f>
        <v>2928750</v>
      </c>
      <c r="F20" s="33" t="n">
        <f aca="false">IFERROR(D20/E20,0)</f>
        <v>0.978922748612889</v>
      </c>
      <c r="G20" s="32" t="n">
        <f aca="false">COUNTIF('Sales Data'!C:C,A20)</f>
        <v>26</v>
      </c>
      <c r="H20" s="32" t="n">
        <f aca="false">IFERROR(D20/G20,0)</f>
        <v>110270</v>
      </c>
    </row>
  </sheetData>
  <mergeCells count="10">
    <mergeCell ref="A1:H1"/>
    <mergeCell ref="A3:B4"/>
    <mergeCell ref="C3:D4"/>
    <mergeCell ref="E3:F4"/>
    <mergeCell ref="G3:H4"/>
    <mergeCell ref="A5:B7"/>
    <mergeCell ref="C5:D7"/>
    <mergeCell ref="E5:F7"/>
    <mergeCell ref="G5:H7"/>
    <mergeCell ref="A9:H9"/>
  </mergeCells>
  <conditionalFormatting sqref="F11:F20">
    <cfRule type="colorScale" priority="2">
      <colorScale>
        <cfvo type="num" val="0.5"/>
        <cfvo type="num" val="1"/>
        <cfvo type="num" val="1.5"/>
        <color rgb="FFFF0000"/>
        <color rgb="FFFFFF00"/>
        <color rgb="FF70AD47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18"/>
  </cols>
  <sheetData>
    <row r="1" customFormat="false" ht="34.5" hidden="false" customHeight="true" outlineLevel="0" collapsed="false">
      <c r="A1" s="8" t="s">
        <v>237</v>
      </c>
      <c r="B1" s="8"/>
      <c r="C1" s="8"/>
      <c r="D1" s="8"/>
      <c r="E1" s="8"/>
      <c r="F1" s="8"/>
      <c r="G1" s="8"/>
    </row>
    <row r="2" customFormat="false" ht="26.85" hidden="false" customHeight="false" outlineLevel="0" collapsed="false">
      <c r="A2" s="34" t="s">
        <v>5</v>
      </c>
      <c r="B2" s="34" t="s">
        <v>6</v>
      </c>
      <c r="C2" s="34" t="s">
        <v>232</v>
      </c>
      <c r="D2" s="34" t="s">
        <v>8</v>
      </c>
      <c r="E2" s="34" t="s">
        <v>238</v>
      </c>
      <c r="F2" s="34" t="s">
        <v>239</v>
      </c>
      <c r="G2" s="34" t="s">
        <v>240</v>
      </c>
    </row>
    <row r="3" customFormat="false" ht="15" hidden="false" customHeight="false" outlineLevel="0" collapsed="false">
      <c r="A3" s="29" t="s">
        <v>18</v>
      </c>
      <c r="B3" s="29" t="s">
        <v>19</v>
      </c>
      <c r="C3" s="13" t="n">
        <f aca="false">SUMIF('Sales Data'!F:F,A3,'Sales Data'!J:J)</f>
        <v>3327360</v>
      </c>
      <c r="D3" s="13" t="n">
        <f aca="false">SUMIF('Sales Data'!F:F,A3,'Sales Data'!I:I)</f>
        <v>279</v>
      </c>
      <c r="E3" s="35" t="n">
        <f aca="false">IFERROR(C3/D3,0)</f>
        <v>11926.0215053763</v>
      </c>
      <c r="F3" s="13" t="n">
        <f aca="false">COUNTIF('Sales Data'!F:F,A3)</f>
        <v>49</v>
      </c>
      <c r="G3" s="30" t="n">
        <f aca="false">IFERROR(C3/SUM(C3:C8),0)</f>
        <v>0.151284964665347</v>
      </c>
    </row>
    <row r="4" customFormat="false" ht="15" hidden="false" customHeight="false" outlineLevel="0" collapsed="false">
      <c r="A4" s="31" t="s">
        <v>44</v>
      </c>
      <c r="B4" s="31" t="s">
        <v>19</v>
      </c>
      <c r="C4" s="32" t="n">
        <f aca="false">SUMIF('Sales Data'!F:F,A4,'Sales Data'!J:J)</f>
        <v>4156920</v>
      </c>
      <c r="D4" s="32" t="n">
        <f aca="false">SUMIF('Sales Data'!F:F,A4,'Sales Data'!I:I)</f>
        <v>235</v>
      </c>
      <c r="E4" s="36" t="n">
        <f aca="false">IFERROR(C4/D4,0)</f>
        <v>17689.0212765957</v>
      </c>
      <c r="F4" s="32" t="n">
        <f aca="false">COUNTIF('Sales Data'!F:F,A4)</f>
        <v>44</v>
      </c>
      <c r="G4" s="33" t="n">
        <f aca="false">IFERROR(C4/SUM(C3:C8),0)</f>
        <v>0.189002541148741</v>
      </c>
    </row>
    <row r="5" customFormat="false" ht="15" hidden="false" customHeight="false" outlineLevel="0" collapsed="false">
      <c r="A5" s="29" t="s">
        <v>36</v>
      </c>
      <c r="B5" s="29" t="s">
        <v>24</v>
      </c>
      <c r="C5" s="13" t="n">
        <f aca="false">SUMIF('Sales Data'!F:F,A5,'Sales Data'!J:J)</f>
        <v>1842160</v>
      </c>
      <c r="D5" s="13" t="n">
        <f aca="false">SUMIF('Sales Data'!F:F,A5,'Sales Data'!I:I)</f>
        <v>230</v>
      </c>
      <c r="E5" s="35" t="n">
        <f aca="false">IFERROR(C5/D5,0)</f>
        <v>8009.39130434783</v>
      </c>
      <c r="F5" s="13" t="n">
        <f aca="false">COUNTIF('Sales Data'!F:F,A5)</f>
        <v>37</v>
      </c>
      <c r="G5" s="30" t="n">
        <f aca="false">IFERROR(C5/SUM(C3:C8),0)</f>
        <v>0.0837574264605922</v>
      </c>
    </row>
    <row r="6" customFormat="false" ht="15" hidden="false" customHeight="false" outlineLevel="0" collapsed="false">
      <c r="A6" s="31" t="s">
        <v>56</v>
      </c>
      <c r="B6" s="31" t="s">
        <v>57</v>
      </c>
      <c r="C6" s="32" t="n">
        <f aca="false">SUMIF('Sales Data'!F:F,A6,'Sales Data'!J:J)</f>
        <v>5464000</v>
      </c>
      <c r="D6" s="32" t="n">
        <f aca="false">SUMIF('Sales Data'!F:F,A6,'Sales Data'!I:I)</f>
        <v>214</v>
      </c>
      <c r="E6" s="36" t="n">
        <f aca="false">IFERROR(C6/D6,0)</f>
        <v>25532.7102803738</v>
      </c>
      <c r="F6" s="32" t="n">
        <f aca="false">COUNTIF('Sales Data'!F:F,A6)</f>
        <v>37</v>
      </c>
      <c r="G6" s="33" t="n">
        <f aca="false">IFERROR(C6/SUM(C3:C8),0)</f>
        <v>0.248431503333411</v>
      </c>
    </row>
    <row r="7" customFormat="false" ht="15" hidden="false" customHeight="false" outlineLevel="0" collapsed="false">
      <c r="A7" s="29" t="s">
        <v>26</v>
      </c>
      <c r="B7" s="29" t="s">
        <v>27</v>
      </c>
      <c r="C7" s="13" t="n">
        <f aca="false">SUMIF('Sales Data'!F:F,A7,'Sales Data'!J:J)</f>
        <v>3081750</v>
      </c>
      <c r="D7" s="13" t="n">
        <f aca="false">SUMIF('Sales Data'!F:F,A7,'Sales Data'!I:I)</f>
        <v>210</v>
      </c>
      <c r="E7" s="35" t="n">
        <f aca="false">IFERROR(C7/D7,0)</f>
        <v>14675</v>
      </c>
      <c r="F7" s="13" t="n">
        <f aca="false">COUNTIF('Sales Data'!F:F,A7)</f>
        <v>35</v>
      </c>
      <c r="G7" s="30" t="n">
        <f aca="false">IFERROR(C7/SUM(C3:C8),0)</f>
        <v>0.140117823096219</v>
      </c>
    </row>
    <row r="8" customFormat="false" ht="15" hidden="false" customHeight="false" outlineLevel="0" collapsed="false">
      <c r="A8" s="31" t="s">
        <v>23</v>
      </c>
      <c r="B8" s="31" t="s">
        <v>24</v>
      </c>
      <c r="C8" s="32" t="n">
        <f aca="false">SUMIF('Sales Data'!F:F,A8,'Sales Data'!J:J)</f>
        <v>4121800</v>
      </c>
      <c r="D8" s="32" t="n">
        <f aca="false">SUMIF('Sales Data'!F:F,A8,'Sales Data'!I:I)</f>
        <v>208</v>
      </c>
      <c r="E8" s="36" t="n">
        <f aca="false">IFERROR(C8/D8,0)</f>
        <v>19816.3461538462</v>
      </c>
      <c r="F8" s="32" t="n">
        <f aca="false">COUNTIF('Sales Data'!F:F,A8)</f>
        <v>37</v>
      </c>
      <c r="G8" s="33" t="n">
        <f aca="false">IFERROR(C8/SUM(C3:C8),0)</f>
        <v>0.18740574129569</v>
      </c>
    </row>
    <row r="9" customFormat="false" ht="15" hidden="false" customHeight="false" outlineLevel="0" collapsed="false">
      <c r="A9" s="16" t="s">
        <v>241</v>
      </c>
      <c r="B9" s="12"/>
      <c r="C9" s="18" t="n">
        <f aca="false">SUM(C3:C8)</f>
        <v>21993990</v>
      </c>
      <c r="D9" s="18" t="n">
        <f aca="false">SUM(D3:D8)</f>
        <v>1376</v>
      </c>
      <c r="E9" s="12"/>
      <c r="F9" s="18" t="n">
        <f aca="false">SUM(F3:F8)</f>
        <v>239</v>
      </c>
      <c r="G9" s="37" t="s">
        <v>242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6"/>
    <col collapsed="false" customWidth="true" hidden="false" outlineLevel="0" max="6" min="4" style="0" width="14"/>
  </cols>
  <sheetData>
    <row r="1" customFormat="false" ht="34.5" hidden="false" customHeight="true" outlineLevel="0" collapsed="false">
      <c r="A1" s="8" t="s">
        <v>243</v>
      </c>
      <c r="B1" s="8"/>
      <c r="C1" s="8"/>
      <c r="D1" s="8"/>
      <c r="E1" s="8"/>
      <c r="F1" s="8"/>
    </row>
    <row r="2" customFormat="false" ht="15" hidden="false" customHeight="false" outlineLevel="0" collapsed="false">
      <c r="A2" s="9" t="s">
        <v>12</v>
      </c>
      <c r="B2" s="9" t="s">
        <v>9</v>
      </c>
      <c r="C2" s="9" t="s">
        <v>10</v>
      </c>
      <c r="D2" s="9" t="s">
        <v>234</v>
      </c>
      <c r="E2" s="9" t="s">
        <v>235</v>
      </c>
      <c r="F2" s="9" t="s">
        <v>244</v>
      </c>
    </row>
    <row r="3" customFormat="false" ht="15" hidden="false" customHeight="false" outlineLevel="0" collapsed="false">
      <c r="A3" s="38" t="s">
        <v>20</v>
      </c>
      <c r="B3" s="39" t="n">
        <f aca="false">SUMIF('Sales Data'!M:M,A3,'Sales Data'!J:J)</f>
        <v>5130440</v>
      </c>
      <c r="C3" s="39" t="n">
        <f aca="false">SUMIF('Sales Data'!M:M,A3,'Sales Data'!K:K)</f>
        <v>5224940</v>
      </c>
      <c r="D3" s="40" t="n">
        <f aca="false">IFERROR(B3/C3,0)</f>
        <v>0.981913667908148</v>
      </c>
      <c r="E3" s="39" t="n">
        <f aca="false">COUNTIF('Sales Data'!M:M,A3)</f>
        <v>58</v>
      </c>
      <c r="F3" s="40" t="s">
        <v>245</v>
      </c>
    </row>
    <row r="4" customFormat="false" ht="15" hidden="false" customHeight="false" outlineLevel="0" collapsed="false">
      <c r="A4" s="41" t="s">
        <v>78</v>
      </c>
      <c r="B4" s="42" t="n">
        <f aca="false">SUMIF('Sales Data'!M:M,A4,'Sales Data'!J:J)</f>
        <v>5342910</v>
      </c>
      <c r="C4" s="42" t="n">
        <f aca="false">SUMIF('Sales Data'!M:M,A4,'Sales Data'!K:K)</f>
        <v>5446280</v>
      </c>
      <c r="D4" s="43" t="n">
        <f aca="false">IFERROR(B4/C4,0)</f>
        <v>0.981020072416402</v>
      </c>
      <c r="E4" s="42" t="n">
        <f aca="false">COUNTIF('Sales Data'!M:M,A4)</f>
        <v>61</v>
      </c>
      <c r="F4" s="43" t="n">
        <f aca="false">IFERROR(B4/B3-1,"—")</f>
        <v>0.0414136019522693</v>
      </c>
    </row>
    <row r="5" customFormat="false" ht="15" hidden="false" customHeight="false" outlineLevel="0" collapsed="false">
      <c r="A5" s="38" t="s">
        <v>125</v>
      </c>
      <c r="B5" s="39" t="n">
        <f aca="false">SUMIF('Sales Data'!M:M,A5,'Sales Data'!J:J)</f>
        <v>7097110</v>
      </c>
      <c r="C5" s="39" t="n">
        <f aca="false">SUMIF('Sales Data'!M:M,A5,'Sales Data'!K:K)</f>
        <v>6975460</v>
      </c>
      <c r="D5" s="40" t="n">
        <f aca="false">IFERROR(B5/C5,0)</f>
        <v>1.0174397100693</v>
      </c>
      <c r="E5" s="39" t="n">
        <f aca="false">COUNTIF('Sales Data'!M:M,A5)</f>
        <v>67</v>
      </c>
      <c r="F5" s="40" t="n">
        <f aca="false">IFERROR(B5/B4-1,"—")</f>
        <v>0.32832295509376</v>
      </c>
    </row>
    <row r="6" customFormat="false" ht="15" hidden="false" customHeight="false" outlineLevel="0" collapsed="false">
      <c r="A6" s="41" t="s">
        <v>177</v>
      </c>
      <c r="B6" s="42" t="n">
        <f aca="false">SUMIF('Sales Data'!M:M,A6,'Sales Data'!J:J)</f>
        <v>4423530</v>
      </c>
      <c r="C6" s="42" t="n">
        <f aca="false">SUMIF('Sales Data'!M:M,A6,'Sales Data'!K:K)</f>
        <v>4375270</v>
      </c>
      <c r="D6" s="43" t="n">
        <f aca="false">IFERROR(B6/C6,0)</f>
        <v>1.0110301764234</v>
      </c>
      <c r="E6" s="42" t="n">
        <f aca="false">COUNTIF('Sales Data'!M:M,A6)</f>
        <v>53</v>
      </c>
      <c r="F6" s="43" t="n">
        <f aca="false">IFERROR(B6/B5-1,"—")</f>
        <v>-0.376713901855826</v>
      </c>
    </row>
    <row r="7" customFormat="false" ht="15" hidden="false" customHeight="false" outlineLevel="0" collapsed="false">
      <c r="A7" s="12" t="s">
        <v>246</v>
      </c>
      <c r="B7" s="18" t="n">
        <f aca="false">SUM(B3:B6)</f>
        <v>21993990</v>
      </c>
      <c r="C7" s="18" t="n">
        <f aca="false">SUM(C3:C6)</f>
        <v>22021950</v>
      </c>
      <c r="D7" s="37" t="n">
        <f aca="false">IFERROR(B7/C7,0)</f>
        <v>0.998730357665874</v>
      </c>
      <c r="E7" s="18" t="n">
        <f aca="false">SUM(E3:E6)</f>
        <v>239</v>
      </c>
      <c r="F7" s="12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4"/>
  </cols>
  <sheetData>
    <row r="1" customFormat="false" ht="34.5" hidden="false" customHeight="true" outlineLevel="0" collapsed="false">
      <c r="A1" s="8" t="s">
        <v>247</v>
      </c>
      <c r="B1" s="8"/>
      <c r="C1" s="8"/>
      <c r="D1" s="8"/>
      <c r="E1" s="8"/>
      <c r="F1" s="8"/>
    </row>
    <row r="2" customFormat="false" ht="15" hidden="false" customHeight="false" outlineLevel="0" collapsed="false">
      <c r="A2" s="9" t="s">
        <v>3</v>
      </c>
      <c r="B2" s="9" t="s">
        <v>9</v>
      </c>
      <c r="C2" s="9" t="s">
        <v>10</v>
      </c>
      <c r="D2" s="9" t="s">
        <v>234</v>
      </c>
      <c r="E2" s="9" t="s">
        <v>239</v>
      </c>
      <c r="F2" s="9" t="s">
        <v>248</v>
      </c>
    </row>
    <row r="3" customFormat="false" ht="15" hidden="false" customHeight="false" outlineLevel="0" collapsed="false">
      <c r="A3" s="44" t="s">
        <v>16</v>
      </c>
      <c r="B3" s="45" t="n">
        <f aca="false">SUMIF('Sales Data'!D:D,A3,'Sales Data'!J:J)</f>
        <v>6866640</v>
      </c>
      <c r="C3" s="45" t="n">
        <f aca="false">SUMIF('Sales Data'!D:D,A3,'Sales Data'!K:K)</f>
        <v>6833590</v>
      </c>
      <c r="D3" s="46" t="n">
        <f aca="false">IFERROR(B3/C3,0)</f>
        <v>1.00483640370581</v>
      </c>
      <c r="E3" s="45" t="n">
        <f aca="false">COUNTIF('Sales Data'!D:D,A3)</f>
        <v>68</v>
      </c>
      <c r="F3" s="46" t="n">
        <f aca="false">IFERROR(B3/SUM(B3:B6),0)</f>
        <v>0.312205288808443</v>
      </c>
    </row>
    <row r="4" customFormat="false" ht="15" hidden="false" customHeight="false" outlineLevel="0" collapsed="false">
      <c r="A4" s="29" t="s">
        <v>30</v>
      </c>
      <c r="B4" s="13" t="n">
        <f aca="false">SUMIF('Sales Data'!D:D,A4,'Sales Data'!J:J)</f>
        <v>6550220</v>
      </c>
      <c r="C4" s="13" t="n">
        <f aca="false">SUMIF('Sales Data'!D:D,A4,'Sales Data'!K:K)</f>
        <v>6580400</v>
      </c>
      <c r="D4" s="30" t="n">
        <f aca="false">IFERROR(B4/C4,0)</f>
        <v>0.995413652665491</v>
      </c>
      <c r="E4" s="13" t="n">
        <f aca="false">COUNTIF('Sales Data'!D:D,A4)</f>
        <v>68</v>
      </c>
      <c r="F4" s="30" t="n">
        <f aca="false">IFERROR(B4/SUM(B3:B6),0)</f>
        <v>0.297818631362477</v>
      </c>
    </row>
    <row r="5" customFormat="false" ht="15" hidden="false" customHeight="false" outlineLevel="0" collapsed="false">
      <c r="A5" s="44" t="s">
        <v>35</v>
      </c>
      <c r="B5" s="45" t="n">
        <f aca="false">SUMIF('Sales Data'!D:D,A5,'Sales Data'!J:J)</f>
        <v>4768240</v>
      </c>
      <c r="C5" s="45" t="n">
        <f aca="false">SUMIF('Sales Data'!D:D,A5,'Sales Data'!K:K)</f>
        <v>4782850</v>
      </c>
      <c r="D5" s="46" t="n">
        <f aca="false">IFERROR(B5/C5,0)</f>
        <v>0.996945335939868</v>
      </c>
      <c r="E5" s="45" t="n">
        <f aca="false">COUNTIF('Sales Data'!D:D,A5)</f>
        <v>52</v>
      </c>
      <c r="F5" s="46" t="n">
        <f aca="false">IFERROR(B5/SUM(B3:B6),0)</f>
        <v>0.216797406927984</v>
      </c>
    </row>
    <row r="6" customFormat="false" ht="15" hidden="false" customHeight="false" outlineLevel="0" collapsed="false">
      <c r="A6" s="29" t="s">
        <v>39</v>
      </c>
      <c r="B6" s="13" t="n">
        <f aca="false">SUMIF('Sales Data'!D:D,A6,'Sales Data'!J:J)</f>
        <v>3808890</v>
      </c>
      <c r="C6" s="13" t="n">
        <f aca="false">SUMIF('Sales Data'!D:D,A6,'Sales Data'!K:K)</f>
        <v>3825110</v>
      </c>
      <c r="D6" s="30" t="n">
        <f aca="false">IFERROR(B6/C6,0)</f>
        <v>0.995759599070354</v>
      </c>
      <c r="E6" s="13" t="n">
        <f aca="false">COUNTIF('Sales Data'!D:D,A6)</f>
        <v>51</v>
      </c>
      <c r="F6" s="30" t="n">
        <f aca="false">IFERROR(B6/SUM(B3:B6),0)</f>
        <v>0.173178672901097</v>
      </c>
    </row>
    <row r="7" customFormat="false" ht="15" hidden="false" customHeight="false" outlineLevel="0" collapsed="false">
      <c r="A7" s="12" t="s">
        <v>241</v>
      </c>
      <c r="B7" s="18" t="n">
        <f aca="false">SUM(B3:B6)</f>
        <v>21993990</v>
      </c>
      <c r="C7" s="18" t="n">
        <f aca="false">SUM(C3:C6)</f>
        <v>22021950</v>
      </c>
      <c r="D7" s="37" t="n">
        <f aca="false">IFERROR(B7/C7,0)</f>
        <v>0.998730357665874</v>
      </c>
      <c r="E7" s="18" t="n">
        <f aca="false">SUM(E3:E6)</f>
        <v>239</v>
      </c>
      <c r="F7" s="37" t="s">
        <v>242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30"/>
  </cols>
  <sheetData>
    <row r="1" customFormat="false" ht="39.75" hidden="false" customHeight="true" outlineLevel="0" collapsed="false">
      <c r="A1" s="8" t="s">
        <v>249</v>
      </c>
      <c r="B1" s="8"/>
      <c r="C1" s="8"/>
      <c r="D1" s="8"/>
    </row>
    <row r="3" customFormat="false" ht="19.5" hidden="false" customHeight="true" outlineLevel="0" collapsed="false">
      <c r="A3" s="47" t="s">
        <v>250</v>
      </c>
      <c r="B3" s="47"/>
      <c r="C3" s="47"/>
      <c r="D3" s="47"/>
    </row>
    <row r="4" customFormat="false" ht="39.75" hidden="false" customHeight="true" outlineLevel="0" collapsed="false">
      <c r="A4" s="48" t="s">
        <v>251</v>
      </c>
      <c r="B4" s="48"/>
      <c r="C4" s="48"/>
      <c r="D4" s="48"/>
    </row>
    <row r="5" customFormat="false" ht="19.5" hidden="false" customHeight="true" outlineLevel="0" collapsed="false">
      <c r="A5" s="47" t="s">
        <v>252</v>
      </c>
      <c r="B5" s="47"/>
      <c r="C5" s="47"/>
      <c r="D5" s="47"/>
    </row>
    <row r="6" customFormat="false" ht="39.75" hidden="false" customHeight="true" outlineLevel="0" collapsed="false">
      <c r="A6" s="48" t="s">
        <v>253</v>
      </c>
      <c r="B6" s="48"/>
      <c r="C6" s="48"/>
      <c r="D6" s="48"/>
    </row>
    <row r="7" customFormat="false" ht="19.5" hidden="false" customHeight="true" outlineLevel="0" collapsed="false">
      <c r="A7" s="49" t="s">
        <v>254</v>
      </c>
      <c r="B7" s="49"/>
      <c r="C7" s="49"/>
      <c r="D7" s="49"/>
    </row>
    <row r="8" customFormat="false" ht="39.75" hidden="false" customHeight="true" outlineLevel="0" collapsed="false">
      <c r="A8" s="48" t="s">
        <v>255</v>
      </c>
      <c r="B8" s="48"/>
      <c r="C8" s="48"/>
      <c r="D8" s="48"/>
    </row>
    <row r="9" customFormat="false" ht="19.5" hidden="false" customHeight="true" outlineLevel="0" collapsed="false">
      <c r="A9" s="49" t="s">
        <v>256</v>
      </c>
      <c r="B9" s="49"/>
      <c r="C9" s="49"/>
      <c r="D9" s="49"/>
    </row>
    <row r="10" customFormat="false" ht="39.75" hidden="false" customHeight="true" outlineLevel="0" collapsed="false">
      <c r="A10" s="48" t="s">
        <v>257</v>
      </c>
      <c r="B10" s="48"/>
      <c r="C10" s="48"/>
      <c r="D10" s="48"/>
    </row>
    <row r="11" customFormat="false" ht="19.5" hidden="false" customHeight="true" outlineLevel="0" collapsed="false">
      <c r="A11" s="49" t="s">
        <v>258</v>
      </c>
      <c r="B11" s="49"/>
      <c r="C11" s="49"/>
      <c r="D11" s="49"/>
    </row>
    <row r="12" customFormat="false" ht="39.75" hidden="false" customHeight="true" outlineLevel="0" collapsed="false">
      <c r="A12" s="48" t="s">
        <v>259</v>
      </c>
      <c r="B12" s="48"/>
      <c r="C12" s="48"/>
      <c r="D12" s="48"/>
    </row>
    <row r="13" customFormat="false" ht="19.5" hidden="false" customHeight="true" outlineLevel="0" collapsed="false">
      <c r="A13" s="49" t="s">
        <v>260</v>
      </c>
      <c r="B13" s="49"/>
      <c r="C13" s="49"/>
      <c r="D13" s="49"/>
    </row>
    <row r="14" customFormat="false" ht="39.75" hidden="false" customHeight="true" outlineLevel="0" collapsed="false">
      <c r="A14" s="48" t="s">
        <v>261</v>
      </c>
      <c r="B14" s="48"/>
      <c r="C14" s="48"/>
      <c r="D14" s="48"/>
    </row>
    <row r="15" customFormat="false" ht="19.5" hidden="false" customHeight="true" outlineLevel="0" collapsed="false">
      <c r="A15" s="49" t="s">
        <v>262</v>
      </c>
      <c r="B15" s="49"/>
      <c r="C15" s="49"/>
      <c r="D15" s="49"/>
    </row>
    <row r="16" customFormat="false" ht="39.75" hidden="false" customHeight="true" outlineLevel="0" collapsed="false">
      <c r="A16" s="48" t="s">
        <v>263</v>
      </c>
      <c r="B16" s="48"/>
      <c r="C16" s="48"/>
      <c r="D16" s="48"/>
    </row>
    <row r="17" customFormat="false" ht="19.5" hidden="false" customHeight="true" outlineLevel="0" collapsed="false">
      <c r="A17" s="50" t="s">
        <v>264</v>
      </c>
      <c r="B17" s="50"/>
      <c r="C17" s="50"/>
      <c r="D17" s="50"/>
    </row>
    <row r="18" customFormat="false" ht="39.75" hidden="false" customHeight="true" outlineLevel="0" collapsed="false">
      <c r="A18" s="48" t="s">
        <v>265</v>
      </c>
      <c r="B18" s="48"/>
      <c r="C18" s="48"/>
      <c r="D18" s="48"/>
    </row>
    <row r="19" customFormat="false" ht="19.5" hidden="false" customHeight="true" outlineLevel="0" collapsed="false">
      <c r="A19" s="50" t="s">
        <v>266</v>
      </c>
      <c r="B19" s="50"/>
      <c r="C19" s="50"/>
      <c r="D19" s="50"/>
    </row>
    <row r="20" customFormat="false" ht="39.75" hidden="false" customHeight="true" outlineLevel="0" collapsed="false">
      <c r="A20" s="48" t="s">
        <v>267</v>
      </c>
      <c r="B20" s="48"/>
      <c r="C20" s="48"/>
      <c r="D20" s="48"/>
    </row>
    <row r="21" customFormat="false" ht="19.5" hidden="false" customHeight="true" outlineLevel="0" collapsed="false">
      <c r="A21" s="51" t="s">
        <v>268</v>
      </c>
      <c r="B21" s="51"/>
      <c r="C21" s="51"/>
      <c r="D21" s="51"/>
    </row>
    <row r="22" customFormat="false" ht="39.75" hidden="false" customHeight="true" outlineLevel="0" collapsed="false">
      <c r="A22" s="48" t="s">
        <v>269</v>
      </c>
      <c r="B22" s="48"/>
      <c r="C22" s="48"/>
      <c r="D22" s="48"/>
    </row>
  </sheetData>
  <mergeCells count="21">
    <mergeCell ref="A1:D1"/>
    <mergeCell ref="A3:D3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2026-03-19T20:25:04Z</dcterms:created>
  <dc:creator>openpyxl</dc:creator>
  <dc:description/>
  <dc:language>en-US</dc:language>
  <cp:lastModifiedBy/>
  <dcterms:modified xsi:type="dcterms:W3CDTF">2026-03-19T20:25:05Z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